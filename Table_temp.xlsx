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mulative\АВ_тест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1" l="1"/>
  <c r="L32" i="1"/>
  <c r="K32" i="1"/>
  <c r="J32" i="1"/>
  <c r="I32" i="1"/>
  <c r="H32" i="1"/>
  <c r="G32" i="1"/>
  <c r="F32" i="1"/>
  <c r="M31" i="1"/>
  <c r="L31" i="1"/>
  <c r="K31" i="1"/>
  <c r="J31" i="1"/>
  <c r="I31" i="1"/>
  <c r="H31" i="1"/>
  <c r="G31" i="1"/>
  <c r="F31" i="1"/>
  <c r="M30" i="1"/>
  <c r="L30" i="1"/>
  <c r="K30" i="1"/>
  <c r="J30" i="1"/>
  <c r="I30" i="1"/>
  <c r="H30" i="1"/>
  <c r="G30" i="1"/>
  <c r="F30" i="1"/>
  <c r="M29" i="1"/>
  <c r="L29" i="1"/>
  <c r="K29" i="1"/>
  <c r="J29" i="1"/>
  <c r="I29" i="1"/>
  <c r="H29" i="1"/>
  <c r="G29" i="1"/>
  <c r="F29" i="1"/>
  <c r="F15" i="1"/>
  <c r="G15" i="1"/>
  <c r="H15" i="1"/>
  <c r="I15" i="1"/>
  <c r="J15" i="1"/>
  <c r="K15" i="1"/>
  <c r="L15" i="1"/>
  <c r="M15" i="1"/>
  <c r="F16" i="1"/>
  <c r="G16" i="1"/>
  <c r="H16" i="1"/>
  <c r="I16" i="1"/>
  <c r="J16" i="1"/>
  <c r="K16" i="1"/>
  <c r="L16" i="1"/>
  <c r="M16" i="1"/>
  <c r="F17" i="1"/>
  <c r="G17" i="1"/>
  <c r="H17" i="1"/>
  <c r="I17" i="1"/>
  <c r="J17" i="1"/>
  <c r="K17" i="1"/>
  <c r="L17" i="1"/>
  <c r="M17" i="1"/>
  <c r="F18" i="1"/>
  <c r="G18" i="1"/>
  <c r="H18" i="1"/>
  <c r="I18" i="1"/>
  <c r="J18" i="1"/>
  <c r="K18" i="1"/>
  <c r="L18" i="1"/>
  <c r="M18" i="1"/>
  <c r="G14" i="1"/>
  <c r="H14" i="1"/>
  <c r="I14" i="1"/>
  <c r="J14" i="1"/>
  <c r="K14" i="1"/>
  <c r="L14" i="1"/>
  <c r="M14" i="1"/>
  <c r="F14" i="1"/>
</calcChain>
</file>

<file path=xl/sharedStrings.xml><?xml version="1.0" encoding="utf-8"?>
<sst xmlns="http://schemas.openxmlformats.org/spreadsheetml/2006/main" count="74" uniqueCount="30">
  <si>
    <t>pageviews</t>
  </si>
  <si>
    <t>visible_pageviews</t>
  </si>
  <si>
    <t>revenue</t>
  </si>
  <si>
    <t>sponsord_clicks</t>
  </si>
  <si>
    <t>organic_clicks</t>
  </si>
  <si>
    <t>CTR_paid</t>
  </si>
  <si>
    <t>RPM</t>
  </si>
  <si>
    <t>A</t>
  </si>
  <si>
    <t>B</t>
  </si>
  <si>
    <t>publisher_id</t>
  </si>
  <si>
    <t>group_name_A</t>
  </si>
  <si>
    <t>pageviews_A</t>
  </si>
  <si>
    <t>visible_pageviews_A</t>
  </si>
  <si>
    <t>sponsord_clicks_A</t>
  </si>
  <si>
    <t>revenue_A</t>
  </si>
  <si>
    <t>organic_clicks_A</t>
  </si>
  <si>
    <t>RPM_A</t>
  </si>
  <si>
    <t>CTR_paid_A</t>
  </si>
  <si>
    <t>CTR_organic_A</t>
  </si>
  <si>
    <t>group_name_B</t>
  </si>
  <si>
    <t>pageviews_B</t>
  </si>
  <si>
    <t>visible_pageviews_B</t>
  </si>
  <si>
    <t>sponsord_clicks_B</t>
  </si>
  <si>
    <t>revenue_B</t>
  </si>
  <si>
    <t>organic_clicks_B</t>
  </si>
  <si>
    <t>RPM_B</t>
  </si>
  <si>
    <t>CTR_paid_B</t>
  </si>
  <si>
    <t>CTR_organic_B</t>
  </si>
  <si>
    <t>CTR_organic</t>
  </si>
  <si>
    <t>B-A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</si>
</sst>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-* #,##0\ _₽_-;\-* #,##0\ _₽_-;_-* &quot;-&quot;??\ _₽_-;_-@_-"/>
    <numFmt numFmtId="165" formatCode="0.0%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1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165" fontId="0" fillId="0" borderId="1" xfId="2" applyNumberFormat="1" applyFont="1" applyBorder="1"/>
    <xf numFmtId="10" fontId="0" fillId="0" borderId="1" xfId="2" applyNumberFormat="1" applyFont="1" applyBorder="1"/>
    <xf numFmtId="0" fontId="2" fillId="0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V33"/>
  <sheetViews>
    <sheetView tabSelected="1" workbookViewId="0">
      <selection activeCell="C16" sqref="C16"/>
    </sheetView>
  </sheetViews>
  <sheetFormatPr defaultRowHeight="15" x14ac:dyDescent="0.25"/>
  <cols>
    <col min="6" max="6" width="11.5703125" bestFit="1" customWidth="1"/>
    <col min="10" max="10" width="11.42578125" customWidth="1"/>
  </cols>
  <sheetData>
    <row r="5" spans="3:22" ht="38.25" x14ac:dyDescent="0.25">
      <c r="C5" s="1"/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</row>
    <row r="6" spans="3:22" x14ac:dyDescent="0.25">
      <c r="C6" s="1">
        <v>0</v>
      </c>
      <c r="D6" s="2">
        <v>101</v>
      </c>
      <c r="E6" s="2" t="s">
        <v>7</v>
      </c>
      <c r="F6" s="3">
        <v>115978</v>
      </c>
      <c r="G6" s="2">
        <v>37314</v>
      </c>
      <c r="H6" s="2">
        <v>2009</v>
      </c>
      <c r="I6" s="2">
        <v>228.89089999999999</v>
      </c>
      <c r="J6" s="2">
        <v>6202</v>
      </c>
      <c r="K6" s="2">
        <v>6.1339999999999997E-3</v>
      </c>
      <c r="L6" s="2">
        <v>5.3839999999999999E-2</v>
      </c>
      <c r="M6" s="2">
        <v>0.166211</v>
      </c>
      <c r="N6" s="2" t="s">
        <v>8</v>
      </c>
      <c r="O6" s="2">
        <v>110960</v>
      </c>
      <c r="P6" s="2">
        <v>33480</v>
      </c>
      <c r="Q6" s="2">
        <v>1811</v>
      </c>
      <c r="R6" s="2">
        <v>219.71850000000001</v>
      </c>
      <c r="S6" s="2">
        <v>3690</v>
      </c>
      <c r="T6" s="2">
        <v>6.5630000000000003E-3</v>
      </c>
      <c r="U6" s="2">
        <v>5.4092000000000001E-2</v>
      </c>
      <c r="V6" s="2">
        <v>0.11021499999999999</v>
      </c>
    </row>
    <row r="7" spans="3:22" x14ac:dyDescent="0.25">
      <c r="C7" s="1">
        <v>1</v>
      </c>
      <c r="D7" s="2">
        <v>106</v>
      </c>
      <c r="E7" s="2" t="s">
        <v>7</v>
      </c>
      <c r="F7" s="3">
        <v>107063</v>
      </c>
      <c r="G7" s="2">
        <v>74712</v>
      </c>
      <c r="H7" s="2">
        <v>4669</v>
      </c>
      <c r="I7" s="2">
        <v>139.82130000000001</v>
      </c>
      <c r="J7" s="2">
        <v>15546</v>
      </c>
      <c r="K7" s="2">
        <v>1.8710000000000001E-3</v>
      </c>
      <c r="L7" s="2">
        <v>6.2493E-2</v>
      </c>
      <c r="M7" s="2">
        <v>0.20807899999999999</v>
      </c>
      <c r="N7" s="2" t="s">
        <v>8</v>
      </c>
      <c r="O7" s="2">
        <v>97565</v>
      </c>
      <c r="P7" s="2">
        <v>66122</v>
      </c>
      <c r="Q7" s="2">
        <v>4680</v>
      </c>
      <c r="R7" s="2">
        <v>133.29580000000001</v>
      </c>
      <c r="S7" s="2">
        <v>6902</v>
      </c>
      <c r="T7" s="2">
        <v>2.016E-3</v>
      </c>
      <c r="U7" s="2">
        <v>7.0777999999999994E-2</v>
      </c>
      <c r="V7" s="2">
        <v>0.104383</v>
      </c>
    </row>
    <row r="8" spans="3:22" x14ac:dyDescent="0.25">
      <c r="C8" s="1">
        <v>2</v>
      </c>
      <c r="D8" s="2">
        <v>111</v>
      </c>
      <c r="E8" s="2" t="s">
        <v>7</v>
      </c>
      <c r="F8" s="3">
        <v>88814</v>
      </c>
      <c r="G8" s="2">
        <v>37242</v>
      </c>
      <c r="H8" s="2">
        <v>2473</v>
      </c>
      <c r="I8" s="2">
        <v>527.08389999999997</v>
      </c>
      <c r="J8" s="2">
        <v>4931</v>
      </c>
      <c r="K8" s="2">
        <v>1.4153000000000001E-2</v>
      </c>
      <c r="L8" s="2">
        <v>6.6404000000000005E-2</v>
      </c>
      <c r="M8" s="2">
        <v>0.13240399999999999</v>
      </c>
      <c r="N8" s="2" t="s">
        <v>8</v>
      </c>
      <c r="O8" s="2">
        <v>85462</v>
      </c>
      <c r="P8" s="2">
        <v>33420</v>
      </c>
      <c r="Q8" s="2">
        <v>2386</v>
      </c>
      <c r="R8" s="2">
        <v>513.52499999999998</v>
      </c>
      <c r="S8" s="2">
        <v>1613</v>
      </c>
      <c r="T8" s="2">
        <v>1.5365999999999999E-2</v>
      </c>
      <c r="U8" s="2">
        <v>7.1393999999999999E-2</v>
      </c>
      <c r="V8" s="2">
        <v>4.8265000000000002E-2</v>
      </c>
    </row>
    <row r="9" spans="3:22" x14ac:dyDescent="0.25">
      <c r="C9" s="1">
        <v>3</v>
      </c>
      <c r="D9" s="2">
        <v>123</v>
      </c>
      <c r="E9" s="2" t="s">
        <v>7</v>
      </c>
      <c r="F9" s="3">
        <v>148222</v>
      </c>
      <c r="G9" s="2">
        <v>24532</v>
      </c>
      <c r="H9" s="2">
        <v>1737</v>
      </c>
      <c r="I9" s="2">
        <v>75.967399999999998</v>
      </c>
      <c r="J9" s="2">
        <v>4366</v>
      </c>
      <c r="K9" s="2">
        <v>3.0969999999999999E-3</v>
      </c>
      <c r="L9" s="2">
        <v>7.0805000000000007E-2</v>
      </c>
      <c r="M9" s="2">
        <v>0.17797199999999999</v>
      </c>
      <c r="N9" s="2" t="s">
        <v>8</v>
      </c>
      <c r="O9" s="2">
        <v>145580</v>
      </c>
      <c r="P9" s="2">
        <v>22978</v>
      </c>
      <c r="Q9" s="2">
        <v>1893</v>
      </c>
      <c r="R9" s="2">
        <v>80.452600000000004</v>
      </c>
      <c r="S9" s="2">
        <v>2169</v>
      </c>
      <c r="T9" s="2">
        <v>3.5010000000000002E-3</v>
      </c>
      <c r="U9" s="2">
        <v>8.2382999999999998E-2</v>
      </c>
      <c r="V9" s="2">
        <v>9.4395000000000007E-2</v>
      </c>
    </row>
    <row r="10" spans="3:22" x14ac:dyDescent="0.25">
      <c r="C10" s="1">
        <v>4</v>
      </c>
      <c r="D10" s="2">
        <v>373</v>
      </c>
      <c r="E10" s="2" t="s">
        <v>7</v>
      </c>
      <c r="F10" s="3">
        <v>171367</v>
      </c>
      <c r="G10" s="2">
        <v>49496</v>
      </c>
      <c r="H10" s="2">
        <v>1104</v>
      </c>
      <c r="I10" s="2">
        <v>103.7431</v>
      </c>
      <c r="J10" s="2">
        <v>11380</v>
      </c>
      <c r="K10" s="2">
        <v>2.0960000000000002E-3</v>
      </c>
      <c r="L10" s="2">
        <v>2.2304999999999998E-2</v>
      </c>
      <c r="M10" s="2">
        <v>0.22991800000000001</v>
      </c>
      <c r="N10" s="2" t="s">
        <v>8</v>
      </c>
      <c r="O10" s="2">
        <v>164533</v>
      </c>
      <c r="P10" s="2">
        <v>35359</v>
      </c>
      <c r="Q10" s="2">
        <v>1145</v>
      </c>
      <c r="R10" s="2">
        <v>101.2664</v>
      </c>
      <c r="S10" s="2">
        <v>4689</v>
      </c>
      <c r="T10" s="2">
        <v>2.8639999999999998E-3</v>
      </c>
      <c r="U10" s="2">
        <v>3.2382000000000001E-2</v>
      </c>
      <c r="V10" s="2">
        <v>0.13261100000000001</v>
      </c>
    </row>
    <row r="13" spans="3:22" ht="25.5" x14ac:dyDescent="0.25">
      <c r="E13" s="9" t="s">
        <v>29</v>
      </c>
      <c r="F13" s="4" t="s">
        <v>0</v>
      </c>
      <c r="G13" s="4" t="s">
        <v>1</v>
      </c>
      <c r="H13" s="4" t="s">
        <v>3</v>
      </c>
      <c r="I13" s="4" t="s">
        <v>2</v>
      </c>
      <c r="J13" s="4" t="s">
        <v>4</v>
      </c>
      <c r="K13" s="4" t="s">
        <v>6</v>
      </c>
      <c r="L13" s="4" t="s">
        <v>5</v>
      </c>
      <c r="M13" s="4" t="s">
        <v>28</v>
      </c>
    </row>
    <row r="14" spans="3:22" x14ac:dyDescent="0.25">
      <c r="E14" s="5">
        <v>101</v>
      </c>
      <c r="F14" s="6">
        <f t="shared" ref="F14:M18" si="0">O6-F6</f>
        <v>-5018</v>
      </c>
      <c r="G14" s="6">
        <f t="shared" si="0"/>
        <v>-3834</v>
      </c>
      <c r="H14" s="6">
        <f t="shared" si="0"/>
        <v>-198</v>
      </c>
      <c r="I14" s="6">
        <f t="shared" si="0"/>
        <v>-9.1723999999999819</v>
      </c>
      <c r="J14" s="6">
        <f t="shared" si="0"/>
        <v>-2512</v>
      </c>
      <c r="K14" s="6">
        <f t="shared" si="0"/>
        <v>4.2900000000000056E-4</v>
      </c>
      <c r="L14" s="8">
        <f t="shared" si="0"/>
        <v>2.5200000000000222E-4</v>
      </c>
      <c r="M14" s="8">
        <f t="shared" si="0"/>
        <v>-5.5996000000000004E-2</v>
      </c>
    </row>
    <row r="15" spans="3:22" x14ac:dyDescent="0.25">
      <c r="E15" s="5">
        <v>106</v>
      </c>
      <c r="F15" s="6">
        <f t="shared" si="0"/>
        <v>-9498</v>
      </c>
      <c r="G15" s="6">
        <f t="shared" si="0"/>
        <v>-8590</v>
      </c>
      <c r="H15" s="6">
        <f t="shared" si="0"/>
        <v>11</v>
      </c>
      <c r="I15" s="6">
        <f t="shared" si="0"/>
        <v>-6.5254999999999939</v>
      </c>
      <c r="J15" s="6">
        <f t="shared" si="0"/>
        <v>-8644</v>
      </c>
      <c r="K15" s="6">
        <f t="shared" si="0"/>
        <v>1.4499999999999995E-4</v>
      </c>
      <c r="L15" s="7">
        <f t="shared" si="0"/>
        <v>8.2849999999999938E-3</v>
      </c>
      <c r="M15" s="7">
        <f t="shared" si="0"/>
        <v>-0.10369599999999998</v>
      </c>
    </row>
    <row r="16" spans="3:22" x14ac:dyDescent="0.25">
      <c r="E16" s="5">
        <v>111</v>
      </c>
      <c r="F16" s="6">
        <f t="shared" si="0"/>
        <v>-3352</v>
      </c>
      <c r="G16" s="6">
        <f t="shared" si="0"/>
        <v>-3822</v>
      </c>
      <c r="H16" s="6">
        <f t="shared" si="0"/>
        <v>-87</v>
      </c>
      <c r="I16" s="6">
        <f t="shared" si="0"/>
        <v>-13.558899999999994</v>
      </c>
      <c r="J16" s="6">
        <f t="shared" si="0"/>
        <v>-3318</v>
      </c>
      <c r="K16" s="6">
        <f t="shared" si="0"/>
        <v>1.2129999999999988E-3</v>
      </c>
      <c r="L16" s="7">
        <f t="shared" si="0"/>
        <v>4.9899999999999944E-3</v>
      </c>
      <c r="M16" s="7">
        <f t="shared" si="0"/>
        <v>-8.4138999999999992E-2</v>
      </c>
    </row>
    <row r="17" spans="3:22" x14ac:dyDescent="0.25">
      <c r="E17" s="5">
        <v>123</v>
      </c>
      <c r="F17" s="6">
        <f t="shared" si="0"/>
        <v>-2642</v>
      </c>
      <c r="G17" s="6">
        <f t="shared" si="0"/>
        <v>-1554</v>
      </c>
      <c r="H17" s="6">
        <f t="shared" si="0"/>
        <v>156</v>
      </c>
      <c r="I17" s="6">
        <f t="shared" si="0"/>
        <v>4.4852000000000061</v>
      </c>
      <c r="J17" s="6">
        <f t="shared" si="0"/>
        <v>-2197</v>
      </c>
      <c r="K17" s="6">
        <f t="shared" si="0"/>
        <v>4.0400000000000028E-4</v>
      </c>
      <c r="L17" s="7">
        <f t="shared" si="0"/>
        <v>1.1577999999999991E-2</v>
      </c>
      <c r="M17" s="7">
        <f t="shared" si="0"/>
        <v>-8.3576999999999985E-2</v>
      </c>
    </row>
    <row r="18" spans="3:22" x14ac:dyDescent="0.25">
      <c r="E18" s="5">
        <v>373</v>
      </c>
      <c r="F18" s="6">
        <f t="shared" si="0"/>
        <v>-6834</v>
      </c>
      <c r="G18" s="6">
        <f t="shared" si="0"/>
        <v>-14137</v>
      </c>
      <c r="H18" s="6">
        <f t="shared" si="0"/>
        <v>41</v>
      </c>
      <c r="I18" s="6">
        <f t="shared" si="0"/>
        <v>-2.4766999999999939</v>
      </c>
      <c r="J18" s="6">
        <f t="shared" si="0"/>
        <v>-6691</v>
      </c>
      <c r="K18" s="6">
        <f t="shared" si="0"/>
        <v>7.6799999999999959E-4</v>
      </c>
      <c r="L18" s="7">
        <f t="shared" si="0"/>
        <v>1.0077000000000003E-2</v>
      </c>
      <c r="M18" s="7">
        <f t="shared" si="0"/>
        <v>-9.7307000000000005E-2</v>
      </c>
    </row>
    <row r="21" spans="3:22" ht="38.25" x14ac:dyDescent="0.25">
      <c r="C21" s="1"/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  <c r="L21" s="1" t="s">
        <v>17</v>
      </c>
      <c r="M21" s="1" t="s">
        <v>18</v>
      </c>
      <c r="N21" s="1" t="s">
        <v>19</v>
      </c>
      <c r="O21" s="1" t="s">
        <v>20</v>
      </c>
      <c r="P21" s="1" t="s">
        <v>21</v>
      </c>
      <c r="Q21" s="1" t="s">
        <v>22</v>
      </c>
      <c r="R21" s="1" t="s">
        <v>23</v>
      </c>
      <c r="S21" s="1" t="s">
        <v>24</v>
      </c>
      <c r="T21" s="1" t="s">
        <v>25</v>
      </c>
      <c r="U21" s="1" t="s">
        <v>26</v>
      </c>
      <c r="V21" s="1" t="s">
        <v>27</v>
      </c>
    </row>
    <row r="22" spans="3:22" x14ac:dyDescent="0.25">
      <c r="C22" s="1">
        <v>0</v>
      </c>
      <c r="D22" s="2">
        <v>106</v>
      </c>
      <c r="E22" s="2" t="s">
        <v>7</v>
      </c>
      <c r="F22" s="2">
        <v>165293</v>
      </c>
      <c r="G22" s="2">
        <v>54056</v>
      </c>
      <c r="H22" s="2">
        <v>3631</v>
      </c>
      <c r="I22" s="2">
        <v>622.4778</v>
      </c>
      <c r="J22" s="2">
        <v>10954</v>
      </c>
      <c r="K22" s="2">
        <v>1.1514999999999999E-2</v>
      </c>
      <c r="L22" s="2">
        <v>6.7170999999999995E-2</v>
      </c>
      <c r="M22" s="2">
        <v>0.20264199999999999</v>
      </c>
      <c r="N22" s="2" t="s">
        <v>8</v>
      </c>
      <c r="O22" s="2">
        <v>158372</v>
      </c>
      <c r="P22" s="2">
        <v>49046</v>
      </c>
      <c r="Q22" s="2">
        <v>4086</v>
      </c>
      <c r="R22" s="2">
        <v>666.41890000000001</v>
      </c>
      <c r="S22" s="2">
        <v>4189</v>
      </c>
      <c r="T22" s="2">
        <v>1.3587999999999999E-2</v>
      </c>
      <c r="U22" s="2">
        <v>8.3309999999999995E-2</v>
      </c>
      <c r="V22" s="2">
        <v>8.541E-2</v>
      </c>
    </row>
    <row r="23" spans="3:22" x14ac:dyDescent="0.25">
      <c r="C23" s="1">
        <v>1</v>
      </c>
      <c r="D23" s="2">
        <v>259</v>
      </c>
      <c r="E23" s="2" t="s">
        <v>7</v>
      </c>
      <c r="F23" s="2">
        <v>426039</v>
      </c>
      <c r="G23" s="2">
        <v>86579</v>
      </c>
      <c r="H23" s="2">
        <v>2061</v>
      </c>
      <c r="I23" s="2">
        <v>65.7166</v>
      </c>
      <c r="J23" s="2">
        <v>17942</v>
      </c>
      <c r="K23" s="2">
        <v>7.5900000000000002E-4</v>
      </c>
      <c r="L23" s="2">
        <v>2.3805E-2</v>
      </c>
      <c r="M23" s="2">
        <v>0.207233</v>
      </c>
      <c r="N23" s="2" t="s">
        <v>8</v>
      </c>
      <c r="O23" s="2">
        <v>419206</v>
      </c>
      <c r="P23" s="2">
        <v>73133</v>
      </c>
      <c r="Q23" s="2">
        <v>2434</v>
      </c>
      <c r="R23" s="2">
        <v>73.2517</v>
      </c>
      <c r="S23" s="2">
        <v>8151</v>
      </c>
      <c r="T23" s="2">
        <v>1.0020000000000001E-3</v>
      </c>
      <c r="U23" s="2">
        <v>3.3281999999999999E-2</v>
      </c>
      <c r="V23" s="2">
        <v>0.111454</v>
      </c>
    </row>
    <row r="24" spans="3:22" x14ac:dyDescent="0.25">
      <c r="C24" s="1">
        <v>2</v>
      </c>
      <c r="D24" s="2">
        <v>574</v>
      </c>
      <c r="E24" s="2" t="s">
        <v>7</v>
      </c>
      <c r="F24" s="2">
        <v>349233</v>
      </c>
      <c r="G24" s="2">
        <v>67583</v>
      </c>
      <c r="H24" s="2">
        <v>8277</v>
      </c>
      <c r="I24" s="2">
        <v>309.9486</v>
      </c>
      <c r="J24" s="2">
        <v>17527</v>
      </c>
      <c r="K24" s="2">
        <v>4.5859999999999998E-3</v>
      </c>
      <c r="L24" s="2">
        <v>0.122472</v>
      </c>
      <c r="M24" s="2">
        <v>0.25934000000000001</v>
      </c>
      <c r="N24" s="2" t="s">
        <v>8</v>
      </c>
      <c r="O24" s="2">
        <v>337056</v>
      </c>
      <c r="P24" s="2">
        <v>59563</v>
      </c>
      <c r="Q24" s="2">
        <v>8722</v>
      </c>
      <c r="R24" s="2">
        <v>327.23200000000003</v>
      </c>
      <c r="S24" s="2">
        <v>9883</v>
      </c>
      <c r="T24" s="2">
        <v>5.4939999999999998E-3</v>
      </c>
      <c r="U24" s="2">
        <v>0.14643300000000001</v>
      </c>
      <c r="V24" s="2">
        <v>0.16592499999999999</v>
      </c>
    </row>
    <row r="25" spans="3:22" x14ac:dyDescent="0.25">
      <c r="C25" s="1">
        <v>3</v>
      </c>
      <c r="D25" s="2">
        <v>700</v>
      </c>
      <c r="E25" s="2" t="s">
        <v>7</v>
      </c>
      <c r="F25" s="2">
        <v>67125</v>
      </c>
      <c r="G25" s="2">
        <v>31834</v>
      </c>
      <c r="H25" s="2">
        <v>2063</v>
      </c>
      <c r="I25" s="2">
        <v>503.76010000000002</v>
      </c>
      <c r="J25" s="2">
        <v>6361</v>
      </c>
      <c r="K25" s="2">
        <v>1.5824999999999999E-2</v>
      </c>
      <c r="L25" s="2">
        <v>6.4805000000000001E-2</v>
      </c>
      <c r="M25" s="2">
        <v>0.199818</v>
      </c>
      <c r="N25" s="2" t="s">
        <v>8</v>
      </c>
      <c r="O25" s="2">
        <v>62737</v>
      </c>
      <c r="P25" s="2">
        <v>28852</v>
      </c>
      <c r="Q25" s="2">
        <v>2401</v>
      </c>
      <c r="R25" s="2">
        <v>640.34580000000005</v>
      </c>
      <c r="S25" s="2">
        <v>2376</v>
      </c>
      <c r="T25" s="2">
        <v>2.2193999999999998E-2</v>
      </c>
      <c r="U25" s="2">
        <v>8.3218E-2</v>
      </c>
      <c r="V25" s="2">
        <v>8.2350999999999994E-2</v>
      </c>
    </row>
    <row r="28" spans="3:22" ht="25.5" x14ac:dyDescent="0.25">
      <c r="E28" s="9" t="s">
        <v>29</v>
      </c>
      <c r="F28" s="4" t="s">
        <v>0</v>
      </c>
      <c r="G28" s="4" t="s">
        <v>1</v>
      </c>
      <c r="H28" s="4" t="s">
        <v>3</v>
      </c>
      <c r="I28" s="4" t="s">
        <v>2</v>
      </c>
      <c r="J28" s="4" t="s">
        <v>4</v>
      </c>
      <c r="K28" s="4" t="s">
        <v>6</v>
      </c>
      <c r="L28" s="4" t="s">
        <v>5</v>
      </c>
      <c r="M28" s="4" t="s">
        <v>28</v>
      </c>
    </row>
    <row r="29" spans="3:22" x14ac:dyDescent="0.25">
      <c r="E29" s="2">
        <v>106</v>
      </c>
      <c r="F29" s="6">
        <f t="shared" ref="F29:M32" si="1">O22-F22</f>
        <v>-6921</v>
      </c>
      <c r="G29" s="6">
        <f t="shared" si="1"/>
        <v>-5010</v>
      </c>
      <c r="H29" s="6">
        <f t="shared" si="1"/>
        <v>455</v>
      </c>
      <c r="I29" s="6">
        <f t="shared" si="1"/>
        <v>43.941100000000006</v>
      </c>
      <c r="J29" s="6">
        <f t="shared" si="1"/>
        <v>-6765</v>
      </c>
      <c r="K29" s="6">
        <f t="shared" si="1"/>
        <v>2.0730000000000002E-3</v>
      </c>
      <c r="L29" s="8">
        <f t="shared" si="1"/>
        <v>1.6139000000000001E-2</v>
      </c>
      <c r="M29" s="8">
        <f t="shared" si="1"/>
        <v>-0.11723199999999999</v>
      </c>
    </row>
    <row r="30" spans="3:22" x14ac:dyDescent="0.25">
      <c r="E30" s="2">
        <v>259</v>
      </c>
      <c r="F30" s="6">
        <f t="shared" si="1"/>
        <v>-6833</v>
      </c>
      <c r="G30" s="6">
        <f t="shared" si="1"/>
        <v>-13446</v>
      </c>
      <c r="H30" s="6">
        <f t="shared" si="1"/>
        <v>373</v>
      </c>
      <c r="I30" s="6">
        <f t="shared" si="1"/>
        <v>7.5350999999999999</v>
      </c>
      <c r="J30" s="6">
        <f t="shared" si="1"/>
        <v>-9791</v>
      </c>
      <c r="K30" s="6">
        <f t="shared" si="1"/>
        <v>2.4300000000000005E-4</v>
      </c>
      <c r="L30" s="7">
        <f t="shared" si="1"/>
        <v>9.4769999999999993E-3</v>
      </c>
      <c r="M30" s="7">
        <f t="shared" si="1"/>
        <v>-9.5779000000000003E-2</v>
      </c>
    </row>
    <row r="31" spans="3:22" x14ac:dyDescent="0.25">
      <c r="E31" s="2">
        <v>574</v>
      </c>
      <c r="F31" s="6">
        <f t="shared" si="1"/>
        <v>-12177</v>
      </c>
      <c r="G31" s="6">
        <f t="shared" si="1"/>
        <v>-8020</v>
      </c>
      <c r="H31" s="6">
        <f t="shared" si="1"/>
        <v>445</v>
      </c>
      <c r="I31" s="6">
        <f t="shared" si="1"/>
        <v>17.283400000000029</v>
      </c>
      <c r="J31" s="6">
        <f t="shared" si="1"/>
        <v>-7644</v>
      </c>
      <c r="K31" s="6">
        <f t="shared" si="1"/>
        <v>9.0799999999999995E-4</v>
      </c>
      <c r="L31" s="7">
        <f t="shared" si="1"/>
        <v>2.396100000000001E-2</v>
      </c>
      <c r="M31" s="7">
        <f t="shared" si="1"/>
        <v>-9.3415000000000026E-2</v>
      </c>
    </row>
    <row r="32" spans="3:22" x14ac:dyDescent="0.25">
      <c r="E32" s="2">
        <v>700</v>
      </c>
      <c r="F32" s="6">
        <f t="shared" si="1"/>
        <v>-4388</v>
      </c>
      <c r="G32" s="6">
        <f t="shared" si="1"/>
        <v>-2982</v>
      </c>
      <c r="H32" s="6">
        <f t="shared" si="1"/>
        <v>338</v>
      </c>
      <c r="I32" s="6">
        <f t="shared" si="1"/>
        <v>136.58570000000003</v>
      </c>
      <c r="J32" s="6">
        <f t="shared" si="1"/>
        <v>-3985</v>
      </c>
      <c r="K32" s="6">
        <f t="shared" si="1"/>
        <v>6.3689999999999997E-3</v>
      </c>
      <c r="L32" s="7">
        <f t="shared" si="1"/>
        <v>1.8412999999999999E-2</v>
      </c>
      <c r="M32" s="7">
        <f t="shared" si="1"/>
        <v>-0.117467</v>
      </c>
    </row>
    <row r="33" spans="5:13" x14ac:dyDescent="0.25">
      <c r="E33" s="2"/>
      <c r="F33" s="6"/>
      <c r="G33" s="6"/>
      <c r="H33" s="6"/>
      <c r="I33" s="6"/>
      <c r="J33" s="6"/>
      <c r="K33" s="6"/>
      <c r="L33" s="7"/>
      <c r="M33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2026-02-17T12:08:30Z</dcterms:created>
  <dcterms:modified xsi:type="dcterms:W3CDTF">2026-02-21T13:54:52Z</dcterms:modified>
</cp:coreProperties>
</file>