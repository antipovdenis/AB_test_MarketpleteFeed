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imulative\АВ_тест\AB_test_MarketpleteFeed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4" i="1" l="1"/>
  <c r="AB25" i="1"/>
  <c r="AB26" i="1"/>
  <c r="AB23" i="1"/>
  <c r="AA24" i="1"/>
  <c r="AA25" i="1"/>
  <c r="AA26" i="1"/>
  <c r="AA23" i="1"/>
  <c r="AH24" i="1"/>
  <c r="AH25" i="1"/>
  <c r="AH26" i="1"/>
  <c r="AG24" i="1"/>
  <c r="AG25" i="1"/>
  <c r="AG26" i="1"/>
  <c r="AG23" i="1"/>
  <c r="AF24" i="1"/>
  <c r="AF25" i="1"/>
  <c r="AF26" i="1"/>
  <c r="AE24" i="1"/>
  <c r="AE25" i="1"/>
  <c r="AE26" i="1"/>
  <c r="AD24" i="1"/>
  <c r="AD25" i="1"/>
  <c r="AD26" i="1"/>
  <c r="AD23" i="1"/>
  <c r="AC24" i="1"/>
  <c r="AC25" i="1"/>
  <c r="AC26" i="1"/>
  <c r="AC23" i="1"/>
  <c r="AH23" i="1"/>
  <c r="AF23" i="1"/>
  <c r="AE23" i="1"/>
  <c r="AH7" i="1"/>
  <c r="AH8" i="1"/>
  <c r="AH9" i="1"/>
  <c r="AH10" i="1"/>
  <c r="AH6" i="1"/>
  <c r="AG7" i="1"/>
  <c r="AG8" i="1"/>
  <c r="AG9" i="1"/>
  <c r="AG10" i="1"/>
  <c r="AG6" i="1"/>
  <c r="W31" i="1"/>
  <c r="W32" i="1"/>
  <c r="W33" i="1"/>
  <c r="W30" i="1"/>
  <c r="V31" i="1"/>
  <c r="V32" i="1"/>
  <c r="V33" i="1"/>
  <c r="V30" i="1"/>
  <c r="AF7" i="1"/>
  <c r="AF8" i="1"/>
  <c r="AF9" i="1"/>
  <c r="AF10" i="1"/>
  <c r="AF6" i="1"/>
  <c r="W15" i="1"/>
  <c r="W16" i="1"/>
  <c r="W17" i="1"/>
  <c r="W18" i="1"/>
  <c r="W14" i="1"/>
  <c r="V15" i="1"/>
  <c r="V16" i="1"/>
  <c r="V17" i="1"/>
  <c r="V18" i="1"/>
  <c r="V14" i="1"/>
  <c r="AE7" i="1"/>
  <c r="AE8" i="1"/>
  <c r="AE9" i="1"/>
  <c r="AE10" i="1"/>
  <c r="AE6" i="1"/>
  <c r="AB7" i="1"/>
  <c r="AB8" i="1"/>
  <c r="AB9" i="1"/>
  <c r="AB10" i="1"/>
  <c r="AB6" i="1"/>
  <c r="AA7" i="1"/>
  <c r="AA8" i="1"/>
  <c r="AA9" i="1"/>
  <c r="AA10" i="1"/>
  <c r="AA6" i="1"/>
  <c r="Z24" i="1" l="1"/>
  <c r="Z25" i="1"/>
  <c r="Z26" i="1"/>
  <c r="Z23" i="1"/>
  <c r="Y24" i="1"/>
  <c r="Y25" i="1"/>
  <c r="Y26" i="1"/>
  <c r="Y23" i="1"/>
  <c r="AD7" i="1"/>
  <c r="AD8" i="1"/>
  <c r="AD9" i="1"/>
  <c r="AD10" i="1"/>
  <c r="AD6" i="1"/>
  <c r="AC7" i="1"/>
  <c r="AC8" i="1"/>
  <c r="AC9" i="1"/>
  <c r="AC10" i="1"/>
  <c r="AC6" i="1"/>
  <c r="Z7" i="1"/>
  <c r="Z8" i="1"/>
  <c r="Z9" i="1"/>
  <c r="Z10" i="1"/>
  <c r="Z6" i="1"/>
  <c r="Y7" i="1"/>
  <c r="Y8" i="1"/>
  <c r="Y9" i="1"/>
  <c r="Y10" i="1"/>
  <c r="Y6" i="1"/>
  <c r="Q30" i="1"/>
  <c r="R30" i="1"/>
  <c r="S30" i="1"/>
  <c r="T30" i="1"/>
  <c r="Q31" i="1"/>
  <c r="R31" i="1"/>
  <c r="S31" i="1"/>
  <c r="T31" i="1"/>
  <c r="Q32" i="1"/>
  <c r="R32" i="1"/>
  <c r="S32" i="1"/>
  <c r="T32" i="1"/>
  <c r="Q33" i="1"/>
  <c r="R33" i="1"/>
  <c r="S33" i="1"/>
  <c r="T33" i="1"/>
  <c r="P31" i="1"/>
  <c r="P32" i="1"/>
  <c r="P33" i="1"/>
  <c r="P30" i="1"/>
  <c r="U33" i="1"/>
  <c r="U32" i="1"/>
  <c r="U31" i="1"/>
  <c r="U30" i="1"/>
  <c r="U15" i="1"/>
  <c r="U17" i="1"/>
  <c r="T14" i="1"/>
  <c r="T15" i="1"/>
  <c r="T16" i="1"/>
  <c r="T17" i="1"/>
  <c r="T18" i="1"/>
  <c r="Q14" i="1"/>
  <c r="R14" i="1"/>
  <c r="S14" i="1"/>
  <c r="U14" i="1" s="1"/>
  <c r="Q15" i="1"/>
  <c r="R15" i="1"/>
  <c r="S15" i="1"/>
  <c r="Q16" i="1"/>
  <c r="R16" i="1"/>
  <c r="S16" i="1"/>
  <c r="U16" i="1" s="1"/>
  <c r="Q17" i="1"/>
  <c r="R17" i="1"/>
  <c r="S17" i="1"/>
  <c r="Q18" i="1"/>
  <c r="R18" i="1"/>
  <c r="S18" i="1"/>
  <c r="U18" i="1" s="1"/>
  <c r="P15" i="1"/>
  <c r="P16" i="1"/>
  <c r="P17" i="1"/>
  <c r="P18" i="1"/>
  <c r="P14" i="1"/>
  <c r="M33" i="1" l="1"/>
  <c r="L33" i="1"/>
  <c r="K33" i="1"/>
  <c r="J33" i="1"/>
  <c r="I33" i="1"/>
  <c r="H33" i="1"/>
  <c r="G33" i="1"/>
  <c r="F33" i="1"/>
  <c r="M32" i="1"/>
  <c r="L32" i="1"/>
  <c r="K32" i="1"/>
  <c r="J32" i="1"/>
  <c r="I32" i="1"/>
  <c r="H32" i="1"/>
  <c r="G32" i="1"/>
  <c r="F32" i="1"/>
  <c r="M31" i="1"/>
  <c r="L31" i="1"/>
  <c r="K31" i="1"/>
  <c r="J31" i="1"/>
  <c r="I31" i="1"/>
  <c r="H31" i="1"/>
  <c r="G31" i="1"/>
  <c r="F31" i="1"/>
  <c r="M30" i="1"/>
  <c r="L30" i="1"/>
  <c r="K30" i="1"/>
  <c r="J30" i="1"/>
  <c r="I30" i="1"/>
  <c r="H30" i="1"/>
  <c r="G30" i="1"/>
  <c r="F30" i="1"/>
  <c r="F15" i="1"/>
  <c r="G15" i="1"/>
  <c r="H15" i="1"/>
  <c r="I15" i="1"/>
  <c r="J15" i="1"/>
  <c r="K15" i="1"/>
  <c r="L15" i="1"/>
  <c r="M15" i="1"/>
  <c r="F16" i="1"/>
  <c r="G16" i="1"/>
  <c r="H16" i="1"/>
  <c r="I16" i="1"/>
  <c r="J16" i="1"/>
  <c r="K16" i="1"/>
  <c r="L16" i="1"/>
  <c r="M16" i="1"/>
  <c r="F17" i="1"/>
  <c r="G17" i="1"/>
  <c r="H17" i="1"/>
  <c r="I17" i="1"/>
  <c r="J17" i="1"/>
  <c r="K17" i="1"/>
  <c r="L17" i="1"/>
  <c r="M17" i="1"/>
  <c r="F18" i="1"/>
  <c r="G18" i="1"/>
  <c r="H18" i="1"/>
  <c r="I18" i="1"/>
  <c r="J18" i="1"/>
  <c r="K18" i="1"/>
  <c r="L18" i="1"/>
  <c r="M18" i="1"/>
  <c r="G14" i="1"/>
  <c r="H14" i="1"/>
  <c r="I14" i="1"/>
  <c r="J14" i="1"/>
  <c r="K14" i="1"/>
  <c r="L14" i="1"/>
  <c r="M14" i="1"/>
  <c r="F14" i="1"/>
</calcChain>
</file>

<file path=xl/sharedStrings.xml><?xml version="1.0" encoding="utf-8"?>
<sst xmlns="http://schemas.openxmlformats.org/spreadsheetml/2006/main" count="148" uniqueCount="56">
  <si>
    <t>pageviews</t>
  </si>
  <si>
    <t>visible_pageviews</t>
  </si>
  <si>
    <t>revenue</t>
  </si>
  <si>
    <t>sponsord_clicks</t>
  </si>
  <si>
    <t>organic_clicks</t>
  </si>
  <si>
    <t>CTR_paid</t>
  </si>
  <si>
    <t>RPM</t>
  </si>
  <si>
    <t>A</t>
  </si>
  <si>
    <t>B</t>
  </si>
  <si>
    <t>publisher_id</t>
  </si>
  <si>
    <t>group_name_A</t>
  </si>
  <si>
    <t>pageviews_A</t>
  </si>
  <si>
    <t>visible_pageviews_A</t>
  </si>
  <si>
    <t>sponsord_clicks_A</t>
  </si>
  <si>
    <t>revenue_A</t>
  </si>
  <si>
    <t>organic_clicks_A</t>
  </si>
  <si>
    <t>RPM_A</t>
  </si>
  <si>
    <t>CTR_paid_A</t>
  </si>
  <si>
    <t>CTR_organic_A</t>
  </si>
  <si>
    <t>group_name_B</t>
  </si>
  <si>
    <t>pageviews_B</t>
  </si>
  <si>
    <t>visible_pageviews_B</t>
  </si>
  <si>
    <t>sponsord_clicks_B</t>
  </si>
  <si>
    <t>revenue_B</t>
  </si>
  <si>
    <t>organic_clicks_B</t>
  </si>
  <si>
    <t>RPM_B</t>
  </si>
  <si>
    <t>CTR_paid_B</t>
  </si>
  <si>
    <t>CTR_organic_B</t>
  </si>
  <si>
    <t>CTR_organic</t>
  </si>
  <si>
    <t>B-A</t>
  </si>
  <si>
    <t>Desktop</t>
  </si>
  <si>
    <t>Mobile</t>
  </si>
  <si>
    <t>B+A</t>
  </si>
  <si>
    <t>pageviews_A, % от тотал трафика</t>
  </si>
  <si>
    <t>pageviews_В, % от тотал трафика</t>
  </si>
  <si>
    <t>revenue_А, % от тотал выручки</t>
  </si>
  <si>
    <t>revenue_В, % от тотал выручки</t>
  </si>
  <si>
    <t>visible_pageviews_A % от тотал</t>
  </si>
  <si>
    <t>visible_pageviews_В % от тотал</t>
  </si>
  <si>
    <t>Visible/PageViews, A</t>
  </si>
  <si>
    <t>Visible/PageViews, B</t>
  </si>
  <si>
    <t>CPC,A</t>
  </si>
  <si>
    <t>sponsord_clicks_A, % от тотал кликов</t>
  </si>
  <si>
    <t>day</t>
  </si>
  <si>
    <t>Средневзвешенная выручка</t>
  </si>
  <si>
    <t xml:space="preserve">Среднее за период </t>
  </si>
  <si>
    <t>161.893</t>
  </si>
  <si>
    <t xml:space="preserve">Тренд (в день) </t>
  </si>
  <si>
    <t xml:space="preserve"> +7.4870</t>
  </si>
  <si>
    <t xml:space="preserve"> +7.8762</t>
  </si>
  <si>
    <t xml:space="preserve">Ст. ошибка </t>
  </si>
  <si>
    <t>167.348</t>
  </si>
  <si>
    <t>1.34</t>
  </si>
  <si>
    <t>1.26</t>
  </si>
  <si>
    <t>А</t>
  </si>
  <si>
    <t>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</si>
</sst>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_-* #,##0\ _₽_-;\-* #,##0\ _₽_-;_-* &quot;-&quot;??\ _₽_-;_-@_-"/>
    <numFmt numFmtId="165" formatCode="0.0%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rgb="FFCCCCCC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2" fillId="0" borderId="2" xfId="1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165" fontId="0" fillId="0" borderId="1" xfId="2" applyNumberFormat="1" applyFont="1" applyBorder="1"/>
    <xf numFmtId="10" fontId="0" fillId="0" borderId="1" xfId="2" applyNumberFormat="1" applyFont="1" applyBorder="1"/>
    <xf numFmtId="0" fontId="2" fillId="0" borderId="1" xfId="0" applyFont="1" applyFill="1" applyBorder="1" applyAlignment="1">
      <alignment horizontal="center" vertical="center" wrapText="1"/>
    </xf>
    <xf numFmtId="0" fontId="0" fillId="2" borderId="0" xfId="0" applyFill="1"/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0" fillId="0" borderId="1" xfId="0" applyNumberFormat="1" applyBorder="1"/>
    <xf numFmtId="9" fontId="0" fillId="0" borderId="1" xfId="2" applyFont="1" applyBorder="1"/>
    <xf numFmtId="10" fontId="2" fillId="0" borderId="2" xfId="2" applyNumberFormat="1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165" fontId="0" fillId="2" borderId="1" xfId="2" applyNumberFormat="1" applyFont="1" applyFill="1" applyBorder="1"/>
    <xf numFmtId="0" fontId="3" fillId="0" borderId="3" xfId="0" applyFont="1" applyBorder="1" applyAlignment="1">
      <alignment horizontal="center" vertical="center" wrapText="1"/>
    </xf>
    <xf numFmtId="165" fontId="0" fillId="0" borderId="4" xfId="2" applyNumberFormat="1" applyFont="1" applyBorder="1"/>
    <xf numFmtId="0" fontId="3" fillId="0" borderId="5" xfId="0" applyFont="1" applyBorder="1" applyAlignment="1">
      <alignment horizontal="center" vertical="center" wrapText="1"/>
    </xf>
    <xf numFmtId="2" fontId="0" fillId="0" borderId="1" xfId="0" applyNumberFormat="1" applyBorder="1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0" applyFont="1"/>
    <xf numFmtId="49" fontId="0" fillId="0" borderId="0" xfId="0" applyNumberForma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AI55"/>
  <sheetViews>
    <sheetView tabSelected="1" topLeftCell="B1" workbookViewId="0">
      <selection activeCell="D3" sqref="D3"/>
    </sheetView>
  </sheetViews>
  <sheetFormatPr defaultRowHeight="15" x14ac:dyDescent="0.25"/>
  <cols>
    <col min="6" max="6" width="11.5703125" bestFit="1" customWidth="1"/>
    <col min="10" max="10" width="11.42578125" customWidth="1"/>
    <col min="16" max="17" width="10.42578125" bestFit="1" customWidth="1"/>
    <col min="24" max="24" width="11.5703125" customWidth="1"/>
    <col min="34" max="34" width="9.5703125" bestFit="1" customWidth="1"/>
  </cols>
  <sheetData>
    <row r="5" spans="3:35" ht="51" x14ac:dyDescent="0.25">
      <c r="C5" s="11" t="s">
        <v>30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X5" s="4" t="s">
        <v>9</v>
      </c>
      <c r="Y5" s="4" t="s">
        <v>33</v>
      </c>
      <c r="Z5" s="4" t="s">
        <v>34</v>
      </c>
      <c r="AA5" s="1" t="s">
        <v>37</v>
      </c>
      <c r="AB5" s="1" t="s">
        <v>38</v>
      </c>
      <c r="AC5" s="4" t="s">
        <v>35</v>
      </c>
      <c r="AD5" s="4" t="s">
        <v>36</v>
      </c>
      <c r="AE5" s="16" t="s">
        <v>39</v>
      </c>
      <c r="AF5" s="16" t="s">
        <v>40</v>
      </c>
      <c r="AG5" s="18" t="s">
        <v>13</v>
      </c>
      <c r="AH5" s="16" t="s">
        <v>41</v>
      </c>
      <c r="AI5" s="20" t="s">
        <v>15</v>
      </c>
    </row>
    <row r="6" spans="3:35" x14ac:dyDescent="0.25">
      <c r="C6" s="1">
        <v>0</v>
      </c>
      <c r="D6" s="2">
        <v>101</v>
      </c>
      <c r="E6" s="2" t="s">
        <v>7</v>
      </c>
      <c r="F6" s="3">
        <v>115978</v>
      </c>
      <c r="G6" s="2">
        <v>37314</v>
      </c>
      <c r="H6" s="2">
        <v>2009</v>
      </c>
      <c r="I6" s="2">
        <v>228.89089999999999</v>
      </c>
      <c r="J6" s="2">
        <v>6202</v>
      </c>
      <c r="K6" s="2">
        <v>6.1339999999999997E-3</v>
      </c>
      <c r="L6" s="15">
        <v>5.3839999999999999E-2</v>
      </c>
      <c r="M6" s="15">
        <v>0.166211</v>
      </c>
      <c r="N6" s="2" t="s">
        <v>8</v>
      </c>
      <c r="O6" s="2">
        <v>110960</v>
      </c>
      <c r="P6" s="2">
        <v>33480</v>
      </c>
      <c r="Q6" s="2">
        <v>1811</v>
      </c>
      <c r="R6" s="2">
        <v>219.71850000000001</v>
      </c>
      <c r="S6" s="2">
        <v>3690</v>
      </c>
      <c r="T6" s="2">
        <v>6.5630000000000003E-3</v>
      </c>
      <c r="U6" s="2">
        <v>5.4092000000000001E-2</v>
      </c>
      <c r="V6" s="2">
        <v>0.11021499999999999</v>
      </c>
      <c r="X6" s="5">
        <v>101</v>
      </c>
      <c r="Y6" s="7">
        <f>F6/SUM($F$6:$F$10)</f>
        <v>0.18367107772027289</v>
      </c>
      <c r="Z6" s="7">
        <f>O6/SUM($O$6:$O$10)</f>
        <v>0.18367819897367985</v>
      </c>
      <c r="AA6" s="7">
        <f>G6/SUM($G$6:$G$10)</f>
        <v>0.1671055460017197</v>
      </c>
      <c r="AB6" s="7">
        <f>P6/SUM($P$6:$P$10)</f>
        <v>0.17495910827293204</v>
      </c>
      <c r="AC6" s="17">
        <f>I6/SUM($I$6:$I$10)</f>
        <v>0.21282147408486382</v>
      </c>
      <c r="AD6" s="7">
        <f>R6/SUM($R$6:$R$10)</f>
        <v>0.20960339641479586</v>
      </c>
      <c r="AE6" s="14">
        <f>G6/F6</f>
        <v>0.3217334322026591</v>
      </c>
      <c r="AF6" s="14">
        <f>P6/O6</f>
        <v>0.30173035328046144</v>
      </c>
      <c r="AG6" s="19">
        <f>H6/SUM($H$6:$H$10)</f>
        <v>0.16752835223482321</v>
      </c>
      <c r="AH6" s="21">
        <f>I6/H6</f>
        <v>0.11393275261324042</v>
      </c>
    </row>
    <row r="7" spans="3:35" x14ac:dyDescent="0.25">
      <c r="C7" s="1">
        <v>1</v>
      </c>
      <c r="D7" s="2">
        <v>106</v>
      </c>
      <c r="E7" s="2" t="s">
        <v>7</v>
      </c>
      <c r="F7" s="3">
        <v>107063</v>
      </c>
      <c r="G7" s="2">
        <v>74712</v>
      </c>
      <c r="H7" s="2">
        <v>4669</v>
      </c>
      <c r="I7" s="2">
        <v>139.82130000000001</v>
      </c>
      <c r="J7" s="2">
        <v>15546</v>
      </c>
      <c r="K7" s="2">
        <v>1.8710000000000001E-3</v>
      </c>
      <c r="L7" s="15">
        <v>6.2493E-2</v>
      </c>
      <c r="M7" s="15">
        <v>0.20807899999999999</v>
      </c>
      <c r="N7" s="2" t="s">
        <v>8</v>
      </c>
      <c r="O7" s="2">
        <v>97565</v>
      </c>
      <c r="P7" s="2">
        <v>66122</v>
      </c>
      <c r="Q7" s="2">
        <v>4680</v>
      </c>
      <c r="R7" s="2">
        <v>133.29580000000001</v>
      </c>
      <c r="S7" s="2">
        <v>6902</v>
      </c>
      <c r="T7" s="2">
        <v>2.016E-3</v>
      </c>
      <c r="U7" s="2">
        <v>7.0777999999999994E-2</v>
      </c>
      <c r="V7" s="2">
        <v>0.104383</v>
      </c>
      <c r="X7" s="5">
        <v>106</v>
      </c>
      <c r="Y7" s="7">
        <f>F7/SUM($F$6:$F$10)</f>
        <v>0.16955264441502335</v>
      </c>
      <c r="Z7" s="7">
        <f>O7/SUM($O$6:$O$10)</f>
        <v>0.16150471776195993</v>
      </c>
      <c r="AA7" s="7">
        <f t="shared" ref="AA7:AA10" si="0">G7/SUM($G$6:$G$10)</f>
        <v>0.33458727429062768</v>
      </c>
      <c r="AB7" s="7">
        <f t="shared" ref="AB7:AB10" si="1">P7/SUM($P$6:$P$10)</f>
        <v>0.34553901305922374</v>
      </c>
      <c r="AC7" s="17">
        <f>I7/SUM($I$6:$I$10)</f>
        <v>0.13000505994105477</v>
      </c>
      <c r="AD7" s="7">
        <f>R7/SUM($R$6:$R$10)</f>
        <v>0.12715930796827463</v>
      </c>
      <c r="AE7" s="14">
        <f t="shared" ref="AE7:AE10" si="2">G7/F7</f>
        <v>0.6978321175382719</v>
      </c>
      <c r="AF7" s="14">
        <f t="shared" ref="AF7:AF10" si="3">P7/O7</f>
        <v>0.67772254394506226</v>
      </c>
      <c r="AG7" s="19">
        <f t="shared" ref="AG7:AG10" si="4">H7/SUM($H$6:$H$10)</f>
        <v>0.38934289526350901</v>
      </c>
      <c r="AH7" s="21">
        <f t="shared" ref="AH7:AH10" si="5">I7/H7</f>
        <v>2.994673377596916E-2</v>
      </c>
    </row>
    <row r="8" spans="3:35" x14ac:dyDescent="0.25">
      <c r="C8" s="1">
        <v>2</v>
      </c>
      <c r="D8" s="2">
        <v>111</v>
      </c>
      <c r="E8" s="2" t="s">
        <v>7</v>
      </c>
      <c r="F8" s="3">
        <v>88814</v>
      </c>
      <c r="G8" s="2">
        <v>37242</v>
      </c>
      <c r="H8" s="2">
        <v>2473</v>
      </c>
      <c r="I8" s="2">
        <v>527.08389999999997</v>
      </c>
      <c r="J8" s="2">
        <v>4931</v>
      </c>
      <c r="K8" s="2">
        <v>1.4153000000000001E-2</v>
      </c>
      <c r="L8" s="15">
        <v>6.6404000000000005E-2</v>
      </c>
      <c r="M8" s="15">
        <v>0.13240399999999999</v>
      </c>
      <c r="N8" s="2" t="s">
        <v>8</v>
      </c>
      <c r="O8" s="2">
        <v>85462</v>
      </c>
      <c r="P8" s="2">
        <v>33420</v>
      </c>
      <c r="Q8" s="2">
        <v>2386</v>
      </c>
      <c r="R8" s="2">
        <v>513.52499999999998</v>
      </c>
      <c r="S8" s="2">
        <v>1613</v>
      </c>
      <c r="T8" s="2">
        <v>1.5365999999999999E-2</v>
      </c>
      <c r="U8" s="2">
        <v>7.1393999999999999E-2</v>
      </c>
      <c r="V8" s="2">
        <v>4.8265000000000002E-2</v>
      </c>
      <c r="X8" s="5">
        <v>111</v>
      </c>
      <c r="Y8" s="7">
        <f>F8/SUM($F$6:$F$10)</f>
        <v>0.14065221935753605</v>
      </c>
      <c r="Z8" s="7">
        <f>O8/SUM($O$6:$O$10)</f>
        <v>0.14146995530541301</v>
      </c>
      <c r="AA8" s="7">
        <f t="shared" si="0"/>
        <v>0.16678310404127258</v>
      </c>
      <c r="AB8" s="7">
        <f t="shared" si="1"/>
        <v>0.17464556148391244</v>
      </c>
      <c r="AC8" s="17">
        <f>I8/SUM($I$6:$I$10)</f>
        <v>0.49007965176596779</v>
      </c>
      <c r="AD8" s="7">
        <f>R8/SUM($R$6:$R$10)</f>
        <v>0.48988402953737642</v>
      </c>
      <c r="AE8" s="14">
        <f t="shared" si="2"/>
        <v>0.41932578197131082</v>
      </c>
      <c r="AF8" s="14">
        <f t="shared" si="3"/>
        <v>0.39105099342397792</v>
      </c>
      <c r="AG8" s="19">
        <f t="shared" si="4"/>
        <v>0.20622081387591729</v>
      </c>
      <c r="AH8" s="21">
        <f t="shared" si="5"/>
        <v>0.21313542256368781</v>
      </c>
    </row>
    <row r="9" spans="3:35" x14ac:dyDescent="0.25">
      <c r="C9" s="1">
        <v>3</v>
      </c>
      <c r="D9" s="2">
        <v>123</v>
      </c>
      <c r="E9" s="2" t="s">
        <v>7</v>
      </c>
      <c r="F9" s="3">
        <v>148222</v>
      </c>
      <c r="G9" s="2">
        <v>24532</v>
      </c>
      <c r="H9" s="2">
        <v>1737</v>
      </c>
      <c r="I9" s="2">
        <v>75.967399999999998</v>
      </c>
      <c r="J9" s="2">
        <v>4366</v>
      </c>
      <c r="K9" s="2">
        <v>3.0969999999999999E-3</v>
      </c>
      <c r="L9" s="15">
        <v>7.0805000000000007E-2</v>
      </c>
      <c r="M9" s="15">
        <v>0.17797199999999999</v>
      </c>
      <c r="N9" s="2" t="s">
        <v>8</v>
      </c>
      <c r="O9" s="2">
        <v>145580</v>
      </c>
      <c r="P9" s="2">
        <v>22978</v>
      </c>
      <c r="Q9" s="2">
        <v>1893</v>
      </c>
      <c r="R9" s="2">
        <v>80.452600000000004</v>
      </c>
      <c r="S9" s="2">
        <v>2169</v>
      </c>
      <c r="T9" s="2">
        <v>3.5010000000000002E-3</v>
      </c>
      <c r="U9" s="2">
        <v>8.2382999999999998E-2</v>
      </c>
      <c r="V9" s="2">
        <v>9.4395000000000007E-2</v>
      </c>
      <c r="X9" s="5">
        <v>123</v>
      </c>
      <c r="Y9" s="7">
        <f>F9/SUM($F$6:$F$10)</f>
        <v>0.23473498837584963</v>
      </c>
      <c r="Z9" s="7">
        <f>O9/SUM($O$6:$O$10)</f>
        <v>0.24098659162390332</v>
      </c>
      <c r="AA9" s="7">
        <f t="shared" si="0"/>
        <v>0.10986314130123244</v>
      </c>
      <c r="AB9" s="7">
        <f t="shared" si="1"/>
        <v>0.12007796863486954</v>
      </c>
      <c r="AC9" s="17">
        <f>I9/SUM($I$6:$I$10)</f>
        <v>7.0634062124769859E-2</v>
      </c>
      <c r="AD9" s="7">
        <f>R9/SUM($R$6:$R$10)</f>
        <v>7.6748831848028304E-2</v>
      </c>
      <c r="AE9" s="14">
        <f t="shared" si="2"/>
        <v>0.16550849401573317</v>
      </c>
      <c r="AF9" s="14">
        <f t="shared" si="3"/>
        <v>0.15783761505701333</v>
      </c>
      <c r="AG9" s="19">
        <f t="shared" si="4"/>
        <v>0.14484656437625085</v>
      </c>
      <c r="AH9" s="21">
        <f t="shared" si="5"/>
        <v>4.3734830166954515E-2</v>
      </c>
    </row>
    <row r="10" spans="3:35" x14ac:dyDescent="0.25">
      <c r="C10" s="1">
        <v>4</v>
      </c>
      <c r="D10" s="2">
        <v>373</v>
      </c>
      <c r="E10" s="2" t="s">
        <v>7</v>
      </c>
      <c r="F10" s="3">
        <v>171367</v>
      </c>
      <c r="G10" s="2">
        <v>49496</v>
      </c>
      <c r="H10" s="2">
        <v>1104</v>
      </c>
      <c r="I10" s="2">
        <v>103.7431</v>
      </c>
      <c r="J10" s="2">
        <v>11380</v>
      </c>
      <c r="K10" s="2">
        <v>2.0960000000000002E-3</v>
      </c>
      <c r="L10" s="15">
        <v>2.2304999999999998E-2</v>
      </c>
      <c r="M10" s="15">
        <v>0.22991800000000001</v>
      </c>
      <c r="N10" s="2" t="s">
        <v>8</v>
      </c>
      <c r="O10" s="2">
        <v>164533</v>
      </c>
      <c r="P10" s="2">
        <v>35359</v>
      </c>
      <c r="Q10" s="2">
        <v>1145</v>
      </c>
      <c r="R10" s="2">
        <v>101.2664</v>
      </c>
      <c r="S10" s="2">
        <v>4689</v>
      </c>
      <c r="T10" s="2">
        <v>2.8639999999999998E-3</v>
      </c>
      <c r="U10" s="2">
        <v>3.2382000000000001E-2</v>
      </c>
      <c r="V10" s="2">
        <v>0.13261100000000001</v>
      </c>
      <c r="X10" s="5">
        <v>373</v>
      </c>
      <c r="Y10" s="7">
        <f>F10/SUM($F$6:$F$10)</f>
        <v>0.27138907013131808</v>
      </c>
      <c r="Z10" s="7">
        <f>O10/SUM($O$6:$O$10)</f>
        <v>0.27236053633504387</v>
      </c>
      <c r="AA10" s="7">
        <f t="shared" si="0"/>
        <v>0.22166093436514761</v>
      </c>
      <c r="AB10" s="7">
        <f t="shared" si="1"/>
        <v>0.18477834854906222</v>
      </c>
      <c r="AC10" s="17">
        <f>I10/SUM($I$6:$I$10)</f>
        <v>9.64597520833438E-2</v>
      </c>
      <c r="AD10" s="7">
        <f>R10/SUM($R$6:$R$10)</f>
        <v>9.6604434231524816E-2</v>
      </c>
      <c r="AE10" s="14">
        <f t="shared" si="2"/>
        <v>0.28883040492043394</v>
      </c>
      <c r="AF10" s="14">
        <f t="shared" si="3"/>
        <v>0.21490521658269163</v>
      </c>
      <c r="AG10" s="19">
        <f t="shared" si="4"/>
        <v>9.2061374249499672E-2</v>
      </c>
      <c r="AH10" s="21">
        <f t="shared" si="5"/>
        <v>9.3970199275362321E-2</v>
      </c>
    </row>
    <row r="13" spans="3:35" ht="51" x14ac:dyDescent="0.25">
      <c r="E13" s="9" t="s">
        <v>29</v>
      </c>
      <c r="F13" s="4" t="s">
        <v>0</v>
      </c>
      <c r="G13" s="4" t="s">
        <v>1</v>
      </c>
      <c r="H13" s="4" t="s">
        <v>3</v>
      </c>
      <c r="I13" s="4" t="s">
        <v>2</v>
      </c>
      <c r="J13" s="4" t="s">
        <v>4</v>
      </c>
      <c r="K13" s="4" t="s">
        <v>6</v>
      </c>
      <c r="L13" s="4" t="s">
        <v>5</v>
      </c>
      <c r="M13" s="4" t="s">
        <v>28</v>
      </c>
      <c r="O13" s="9" t="s">
        <v>32</v>
      </c>
      <c r="P13" s="4" t="s">
        <v>0</v>
      </c>
      <c r="Q13" s="4" t="s">
        <v>1</v>
      </c>
      <c r="R13" s="4" t="s">
        <v>3</v>
      </c>
      <c r="S13" s="4" t="s">
        <v>2</v>
      </c>
      <c r="T13" s="4" t="s">
        <v>4</v>
      </c>
      <c r="U13" s="4" t="s">
        <v>6</v>
      </c>
      <c r="V13" s="4" t="s">
        <v>5</v>
      </c>
      <c r="W13" s="4" t="s">
        <v>28</v>
      </c>
      <c r="AB13" s="4" t="s">
        <v>9</v>
      </c>
      <c r="AC13" s="4" t="s">
        <v>33</v>
      </c>
      <c r="AD13" s="1" t="s">
        <v>37</v>
      </c>
      <c r="AE13" s="4" t="s">
        <v>35</v>
      </c>
      <c r="AF13" s="18" t="s">
        <v>42</v>
      </c>
      <c r="AG13" s="16" t="s">
        <v>41</v>
      </c>
    </row>
    <row r="14" spans="3:35" x14ac:dyDescent="0.25">
      <c r="E14" s="5">
        <v>101</v>
      </c>
      <c r="F14" s="6">
        <f t="shared" ref="F14:M18" si="6">O6-F6</f>
        <v>-5018</v>
      </c>
      <c r="G14" s="6">
        <f t="shared" si="6"/>
        <v>-3834</v>
      </c>
      <c r="H14" s="6">
        <f t="shared" si="6"/>
        <v>-198</v>
      </c>
      <c r="I14" s="6">
        <f t="shared" si="6"/>
        <v>-9.1723999999999819</v>
      </c>
      <c r="J14" s="6">
        <f t="shared" si="6"/>
        <v>-2512</v>
      </c>
      <c r="K14" s="6">
        <f t="shared" si="6"/>
        <v>4.2900000000000056E-4</v>
      </c>
      <c r="L14" s="8">
        <f t="shared" si="6"/>
        <v>2.5200000000000222E-4</v>
      </c>
      <c r="M14" s="8">
        <f t="shared" si="6"/>
        <v>-5.5996000000000004E-2</v>
      </c>
      <c r="O14" s="5">
        <v>101</v>
      </c>
      <c r="P14" s="13">
        <f>F6+O6</f>
        <v>226938</v>
      </c>
      <c r="Q14" s="13">
        <f t="shared" ref="Q14:T18" si="7">G6+P6</f>
        <v>70794</v>
      </c>
      <c r="R14" s="13">
        <f t="shared" si="7"/>
        <v>3820</v>
      </c>
      <c r="S14" s="13">
        <f t="shared" si="7"/>
        <v>448.60939999999999</v>
      </c>
      <c r="T14" s="13">
        <f>J6+S6</f>
        <v>9892</v>
      </c>
      <c r="U14" s="6">
        <f>S14/Q14*1000</f>
        <v>6.3368279797722966</v>
      </c>
      <c r="V14" s="8">
        <f>R14/Q14</f>
        <v>5.3959375088284321E-2</v>
      </c>
      <c r="W14" s="8">
        <f>T14/Q14</f>
        <v>0.13972935559510694</v>
      </c>
      <c r="AB14" s="5">
        <v>101</v>
      </c>
      <c r="AC14" s="7">
        <v>0.18367107772027289</v>
      </c>
      <c r="AD14" s="7">
        <v>0.1671055460017197</v>
      </c>
      <c r="AE14" s="17">
        <v>0.21282147408486382</v>
      </c>
      <c r="AF14" s="19">
        <v>0.16752835223482321</v>
      </c>
      <c r="AG14" s="21">
        <v>0.11393275261324042</v>
      </c>
    </row>
    <row r="15" spans="3:35" x14ac:dyDescent="0.25">
      <c r="E15" s="5">
        <v>106</v>
      </c>
      <c r="F15" s="6">
        <f t="shared" si="6"/>
        <v>-9498</v>
      </c>
      <c r="G15" s="6">
        <f t="shared" si="6"/>
        <v>-8590</v>
      </c>
      <c r="H15" s="6">
        <f t="shared" si="6"/>
        <v>11</v>
      </c>
      <c r="I15" s="6">
        <f t="shared" si="6"/>
        <v>-6.5254999999999939</v>
      </c>
      <c r="J15" s="6">
        <f t="shared" si="6"/>
        <v>-8644</v>
      </c>
      <c r="K15" s="6">
        <f t="shared" si="6"/>
        <v>1.4499999999999995E-4</v>
      </c>
      <c r="L15" s="7">
        <f t="shared" si="6"/>
        <v>8.2849999999999938E-3</v>
      </c>
      <c r="M15" s="7">
        <f t="shared" si="6"/>
        <v>-0.10369599999999998</v>
      </c>
      <c r="O15" s="5">
        <v>106</v>
      </c>
      <c r="P15" s="13">
        <f t="shared" ref="P15:P18" si="8">F7+O7</f>
        <v>204628</v>
      </c>
      <c r="Q15" s="13">
        <f t="shared" si="7"/>
        <v>140834</v>
      </c>
      <c r="R15" s="13">
        <f t="shared" si="7"/>
        <v>9349</v>
      </c>
      <c r="S15" s="13">
        <f t="shared" si="7"/>
        <v>273.11710000000005</v>
      </c>
      <c r="T15" s="13">
        <f t="shared" si="7"/>
        <v>22448</v>
      </c>
      <c r="U15" s="6">
        <f t="shared" ref="U15:U18" si="9">S15/Q15*1000</f>
        <v>1.9392838377096442</v>
      </c>
      <c r="V15" s="8">
        <f t="shared" ref="V15:V18" si="10">R15/Q15</f>
        <v>6.6383117713052248E-2</v>
      </c>
      <c r="W15" s="8">
        <f t="shared" ref="W15:W18" si="11">T15/Q15</f>
        <v>0.1593933283156056</v>
      </c>
      <c r="AB15" s="5">
        <v>106</v>
      </c>
      <c r="AC15" s="7">
        <v>0.16955264441502335</v>
      </c>
      <c r="AD15" s="7">
        <v>0.33458727429062768</v>
      </c>
      <c r="AE15" s="17">
        <v>0.13000505994105477</v>
      </c>
      <c r="AF15" s="19">
        <v>0.38934289526350901</v>
      </c>
      <c r="AG15" s="21">
        <v>2.994673377596916E-2</v>
      </c>
    </row>
    <row r="16" spans="3:35" x14ac:dyDescent="0.25">
      <c r="E16" s="5">
        <v>111</v>
      </c>
      <c r="F16" s="6">
        <f t="shared" si="6"/>
        <v>-3352</v>
      </c>
      <c r="G16" s="6">
        <f t="shared" si="6"/>
        <v>-3822</v>
      </c>
      <c r="H16" s="6">
        <f t="shared" si="6"/>
        <v>-87</v>
      </c>
      <c r="I16" s="6">
        <f t="shared" si="6"/>
        <v>-13.558899999999994</v>
      </c>
      <c r="J16" s="6">
        <f t="shared" si="6"/>
        <v>-3318</v>
      </c>
      <c r="K16" s="6">
        <f t="shared" si="6"/>
        <v>1.2129999999999988E-3</v>
      </c>
      <c r="L16" s="7">
        <f t="shared" si="6"/>
        <v>4.9899999999999944E-3</v>
      </c>
      <c r="M16" s="7">
        <f t="shared" si="6"/>
        <v>-8.4138999999999992E-2</v>
      </c>
      <c r="O16" s="5">
        <v>111</v>
      </c>
      <c r="P16" s="13">
        <f t="shared" si="8"/>
        <v>174276</v>
      </c>
      <c r="Q16" s="13">
        <f t="shared" si="7"/>
        <v>70662</v>
      </c>
      <c r="R16" s="13">
        <f t="shared" si="7"/>
        <v>4859</v>
      </c>
      <c r="S16" s="13">
        <f t="shared" si="7"/>
        <v>1040.6088999999999</v>
      </c>
      <c r="T16" s="13">
        <f t="shared" si="7"/>
        <v>6544</v>
      </c>
      <c r="U16" s="6">
        <f t="shared" si="9"/>
        <v>14.726570150859018</v>
      </c>
      <c r="V16" s="8">
        <f t="shared" si="10"/>
        <v>6.8763974979479781E-2</v>
      </c>
      <c r="W16" s="8">
        <f t="shared" si="11"/>
        <v>9.2609889332314399E-2</v>
      </c>
      <c r="AB16" s="5">
        <v>111</v>
      </c>
      <c r="AC16" s="7">
        <v>0.14065221935753605</v>
      </c>
      <c r="AD16" s="7">
        <v>0.16678310404127258</v>
      </c>
      <c r="AE16" s="17">
        <v>0.49007965176596779</v>
      </c>
      <c r="AF16" s="19">
        <v>0.20622081387591729</v>
      </c>
      <c r="AG16" s="21">
        <v>0.21313542256368781</v>
      </c>
    </row>
    <row r="17" spans="3:35" x14ac:dyDescent="0.25">
      <c r="E17" s="5">
        <v>123</v>
      </c>
      <c r="F17" s="6">
        <f t="shared" si="6"/>
        <v>-2642</v>
      </c>
      <c r="G17" s="6">
        <f t="shared" si="6"/>
        <v>-1554</v>
      </c>
      <c r="H17" s="6">
        <f t="shared" si="6"/>
        <v>156</v>
      </c>
      <c r="I17" s="6">
        <f t="shared" si="6"/>
        <v>4.4852000000000061</v>
      </c>
      <c r="J17" s="6">
        <f t="shared" si="6"/>
        <v>-2197</v>
      </c>
      <c r="K17" s="6">
        <f t="shared" si="6"/>
        <v>4.0400000000000028E-4</v>
      </c>
      <c r="L17" s="7">
        <f t="shared" si="6"/>
        <v>1.1577999999999991E-2</v>
      </c>
      <c r="M17" s="7">
        <f t="shared" si="6"/>
        <v>-8.3576999999999985E-2</v>
      </c>
      <c r="O17" s="5">
        <v>123</v>
      </c>
      <c r="P17" s="13">
        <f t="shared" si="8"/>
        <v>293802</v>
      </c>
      <c r="Q17" s="13">
        <f t="shared" si="7"/>
        <v>47510</v>
      </c>
      <c r="R17" s="13">
        <f t="shared" si="7"/>
        <v>3630</v>
      </c>
      <c r="S17" s="13">
        <f t="shared" si="7"/>
        <v>156.42000000000002</v>
      </c>
      <c r="T17" s="13">
        <f t="shared" si="7"/>
        <v>6535</v>
      </c>
      <c r="U17" s="6">
        <f t="shared" si="9"/>
        <v>3.2923595032624715</v>
      </c>
      <c r="V17" s="8">
        <f t="shared" si="10"/>
        <v>7.6404967375289415E-2</v>
      </c>
      <c r="W17" s="8">
        <f t="shared" si="11"/>
        <v>0.1375499894758998</v>
      </c>
      <c r="AB17" s="5">
        <v>123</v>
      </c>
      <c r="AC17" s="7">
        <v>0.23473498837584963</v>
      </c>
      <c r="AD17" s="7">
        <v>0.10986314130123244</v>
      </c>
      <c r="AE17" s="17">
        <v>7.0634062124769859E-2</v>
      </c>
      <c r="AF17" s="19">
        <v>0.14484656437625085</v>
      </c>
      <c r="AG17" s="21">
        <v>4.3734830166954515E-2</v>
      </c>
    </row>
    <row r="18" spans="3:35" x14ac:dyDescent="0.25">
      <c r="E18" s="5">
        <v>373</v>
      </c>
      <c r="F18" s="6">
        <f t="shared" si="6"/>
        <v>-6834</v>
      </c>
      <c r="G18" s="6">
        <f t="shared" si="6"/>
        <v>-14137</v>
      </c>
      <c r="H18" s="6">
        <f t="shared" si="6"/>
        <v>41</v>
      </c>
      <c r="I18" s="6">
        <f t="shared" si="6"/>
        <v>-2.4766999999999939</v>
      </c>
      <c r="J18" s="6">
        <f t="shared" si="6"/>
        <v>-6691</v>
      </c>
      <c r="K18" s="6">
        <f t="shared" si="6"/>
        <v>7.6799999999999959E-4</v>
      </c>
      <c r="L18" s="7">
        <f t="shared" si="6"/>
        <v>1.0077000000000003E-2</v>
      </c>
      <c r="M18" s="7">
        <f t="shared" si="6"/>
        <v>-9.7307000000000005E-2</v>
      </c>
      <c r="O18" s="5">
        <v>373</v>
      </c>
      <c r="P18" s="13">
        <f t="shared" si="8"/>
        <v>335900</v>
      </c>
      <c r="Q18" s="13">
        <f t="shared" si="7"/>
        <v>84855</v>
      </c>
      <c r="R18" s="13">
        <f t="shared" si="7"/>
        <v>2249</v>
      </c>
      <c r="S18" s="13">
        <f t="shared" si="7"/>
        <v>205.0095</v>
      </c>
      <c r="T18" s="13">
        <f t="shared" si="7"/>
        <v>16069</v>
      </c>
      <c r="U18" s="6">
        <f t="shared" si="9"/>
        <v>2.4159978787343115</v>
      </c>
      <c r="V18" s="8">
        <f t="shared" si="10"/>
        <v>2.6504036297212891E-2</v>
      </c>
      <c r="W18" s="8">
        <f t="shared" si="11"/>
        <v>0.18937010193860115</v>
      </c>
      <c r="AB18" s="5">
        <v>373</v>
      </c>
      <c r="AC18" s="7">
        <v>0.27138907013131808</v>
      </c>
      <c r="AD18" s="7">
        <v>0.22166093436514761</v>
      </c>
      <c r="AE18" s="17">
        <v>9.64597520833438E-2</v>
      </c>
      <c r="AF18" s="19">
        <v>9.2061374249499672E-2</v>
      </c>
      <c r="AG18" s="21">
        <v>9.3970199275362321E-2</v>
      </c>
    </row>
    <row r="19" spans="3:35" ht="11.25" customHeight="1" x14ac:dyDescent="0.25"/>
    <row r="20" spans="3:35" s="10" customFormat="1" ht="11.25" customHeight="1" x14ac:dyDescent="0.25"/>
    <row r="22" spans="3:35" ht="51" x14ac:dyDescent="0.25">
      <c r="C22" s="12" t="s">
        <v>31</v>
      </c>
      <c r="D22" s="1" t="s">
        <v>9</v>
      </c>
      <c r="E22" s="1" t="s">
        <v>10</v>
      </c>
      <c r="F22" s="1" t="s">
        <v>11</v>
      </c>
      <c r="G22" s="1" t="s">
        <v>12</v>
      </c>
      <c r="H22" s="1" t="s">
        <v>13</v>
      </c>
      <c r="I22" s="1" t="s">
        <v>14</v>
      </c>
      <c r="J22" s="1" t="s">
        <v>15</v>
      </c>
      <c r="K22" s="1" t="s">
        <v>16</v>
      </c>
      <c r="L22" s="1" t="s">
        <v>17</v>
      </c>
      <c r="M22" s="1" t="s">
        <v>18</v>
      </c>
      <c r="N22" s="1" t="s">
        <v>19</v>
      </c>
      <c r="O22" s="1" t="s">
        <v>20</v>
      </c>
      <c r="P22" s="1" t="s">
        <v>21</v>
      </c>
      <c r="Q22" s="1" t="s">
        <v>22</v>
      </c>
      <c r="R22" s="1" t="s">
        <v>23</v>
      </c>
      <c r="S22" s="1" t="s">
        <v>24</v>
      </c>
      <c r="T22" s="1" t="s">
        <v>25</v>
      </c>
      <c r="U22" s="1" t="s">
        <v>26</v>
      </c>
      <c r="V22" s="1" t="s">
        <v>27</v>
      </c>
      <c r="X22" s="4" t="s">
        <v>9</v>
      </c>
      <c r="Y22" s="4" t="s">
        <v>33</v>
      </c>
      <c r="Z22" s="4" t="s">
        <v>34</v>
      </c>
      <c r="AA22" s="1" t="s">
        <v>37</v>
      </c>
      <c r="AB22" s="1" t="s">
        <v>38</v>
      </c>
      <c r="AC22" s="4" t="s">
        <v>35</v>
      </c>
      <c r="AD22" s="4" t="s">
        <v>36</v>
      </c>
      <c r="AE22" s="16" t="s">
        <v>39</v>
      </c>
      <c r="AF22" s="16" t="s">
        <v>40</v>
      </c>
      <c r="AG22" s="18" t="s">
        <v>13</v>
      </c>
      <c r="AH22" s="16" t="s">
        <v>41</v>
      </c>
      <c r="AI22" s="20" t="s">
        <v>15</v>
      </c>
    </row>
    <row r="23" spans="3:35" x14ac:dyDescent="0.25">
      <c r="C23" s="1">
        <v>0</v>
      </c>
      <c r="D23" s="2">
        <v>106</v>
      </c>
      <c r="E23" s="2" t="s">
        <v>7</v>
      </c>
      <c r="F23" s="2">
        <v>165293</v>
      </c>
      <c r="G23" s="2">
        <v>54056</v>
      </c>
      <c r="H23" s="2">
        <v>3631</v>
      </c>
      <c r="I23" s="2">
        <v>622.4778</v>
      </c>
      <c r="J23" s="2">
        <v>10954</v>
      </c>
      <c r="K23" s="2">
        <v>1.1514999999999999E-2</v>
      </c>
      <c r="L23" s="15">
        <v>6.7170999999999995E-2</v>
      </c>
      <c r="M23" s="15">
        <v>0.20264199999999999</v>
      </c>
      <c r="N23" s="2" t="s">
        <v>8</v>
      </c>
      <c r="O23" s="2">
        <v>158372</v>
      </c>
      <c r="P23" s="2">
        <v>49046</v>
      </c>
      <c r="Q23" s="2">
        <v>4086</v>
      </c>
      <c r="R23" s="2">
        <v>666.41890000000001</v>
      </c>
      <c r="S23" s="2">
        <v>4189</v>
      </c>
      <c r="T23" s="2">
        <v>1.3587999999999999E-2</v>
      </c>
      <c r="U23" s="15">
        <v>8.3309999999999995E-2</v>
      </c>
      <c r="V23" s="15">
        <v>8.541E-2</v>
      </c>
      <c r="X23" s="5">
        <v>106</v>
      </c>
      <c r="Y23" s="14">
        <f>F23/SUM($F$23:$F$26)</f>
        <v>0.16403159701892447</v>
      </c>
      <c r="Z23" s="14">
        <f>O23/SUM($O$23:$O$26)</f>
        <v>0.16203877544965015</v>
      </c>
      <c r="AA23" s="7">
        <f>G23/SUM($G$23:$G$26)</f>
        <v>0.22518454334894106</v>
      </c>
      <c r="AB23" s="7">
        <f>P23/SUM($P$23:$P$26)</f>
        <v>0.23289362469965905</v>
      </c>
      <c r="AC23" s="17">
        <f>I23/SUM($I$23:$I$26)</f>
        <v>0.41445936159263536</v>
      </c>
      <c r="AD23" s="7">
        <f>R23/SUM($R$23:$R$26)</f>
        <v>0.39034677086240055</v>
      </c>
      <c r="AE23" s="14">
        <f>G23/F23</f>
        <v>0.32703139273895449</v>
      </c>
      <c r="AF23" s="14">
        <f>P23/O23</f>
        <v>0.30968858131487892</v>
      </c>
      <c r="AG23" s="19">
        <f>H23/SUM($H$23:$H$26)</f>
        <v>0.22648453093812376</v>
      </c>
      <c r="AH23" s="21">
        <f>I23/H23</f>
        <v>0.17143426053428806</v>
      </c>
    </row>
    <row r="24" spans="3:35" x14ac:dyDescent="0.25">
      <c r="C24" s="1">
        <v>1</v>
      </c>
      <c r="D24" s="2">
        <v>259</v>
      </c>
      <c r="E24" s="2" t="s">
        <v>7</v>
      </c>
      <c r="F24" s="2">
        <v>426039</v>
      </c>
      <c r="G24" s="2">
        <v>86579</v>
      </c>
      <c r="H24" s="2">
        <v>2061</v>
      </c>
      <c r="I24" s="2">
        <v>65.7166</v>
      </c>
      <c r="J24" s="2">
        <v>17942</v>
      </c>
      <c r="K24" s="2">
        <v>7.5900000000000002E-4</v>
      </c>
      <c r="L24" s="15">
        <v>2.3805E-2</v>
      </c>
      <c r="M24" s="15">
        <v>0.207233</v>
      </c>
      <c r="N24" s="2" t="s">
        <v>8</v>
      </c>
      <c r="O24" s="2">
        <v>419206</v>
      </c>
      <c r="P24" s="2">
        <v>73133</v>
      </c>
      <c r="Q24" s="2">
        <v>2434</v>
      </c>
      <c r="R24" s="2">
        <v>73.2517</v>
      </c>
      <c r="S24" s="2">
        <v>8151</v>
      </c>
      <c r="T24" s="2">
        <v>1.0020000000000001E-3</v>
      </c>
      <c r="U24" s="15">
        <v>3.3281999999999999E-2</v>
      </c>
      <c r="V24" s="15">
        <v>0.111454</v>
      </c>
      <c r="X24" s="5">
        <v>259</v>
      </c>
      <c r="Y24" s="14">
        <f>F24/SUM($F$23:$F$26)</f>
        <v>0.42278776210937885</v>
      </c>
      <c r="Z24" s="14">
        <f>O24/SUM($O$23:$O$26)</f>
        <v>0.42891184616691103</v>
      </c>
      <c r="AA24" s="7">
        <f t="shared" ref="AA24:AA26" si="12">G24/SUM($G$23:$G$26)</f>
        <v>0.36066768866745541</v>
      </c>
      <c r="AB24" s="7">
        <f t="shared" ref="AB24:AB26" si="13">P24/SUM($P$23:$P$26)</f>
        <v>0.34727010266199415</v>
      </c>
      <c r="AC24" s="17">
        <f t="shared" ref="AC24:AC26" si="14">I24/SUM($I$23:$I$26)</f>
        <v>4.3755552538642474E-2</v>
      </c>
      <c r="AD24" s="7">
        <f t="shared" ref="AD24:AD26" si="15">R24/SUM($R$23:$R$26)</f>
        <v>4.2906292956549262E-2</v>
      </c>
      <c r="AE24" s="14">
        <f t="shared" ref="AE24:AE26" si="16">G24/F24</f>
        <v>0.20321848469271592</v>
      </c>
      <c r="AF24" s="14">
        <f t="shared" ref="AF24:AF26" si="17">P24/O24</f>
        <v>0.1744559953817455</v>
      </c>
      <c r="AG24" s="19">
        <f t="shared" ref="AG24:AG26" si="18">H24/SUM($H$23:$H$26)</f>
        <v>0.12855538922155688</v>
      </c>
      <c r="AH24" s="21">
        <f t="shared" ref="AH24:AH26" si="19">I24/H24</f>
        <v>3.1885783600194083E-2</v>
      </c>
    </row>
    <row r="25" spans="3:35" x14ac:dyDescent="0.25">
      <c r="C25" s="1">
        <v>2</v>
      </c>
      <c r="D25" s="2">
        <v>574</v>
      </c>
      <c r="E25" s="2" t="s">
        <v>7</v>
      </c>
      <c r="F25" s="2">
        <v>349233</v>
      </c>
      <c r="G25" s="2">
        <v>67583</v>
      </c>
      <c r="H25" s="2">
        <v>8277</v>
      </c>
      <c r="I25" s="2">
        <v>309.9486</v>
      </c>
      <c r="J25" s="2">
        <v>17527</v>
      </c>
      <c r="K25" s="2">
        <v>4.5859999999999998E-3</v>
      </c>
      <c r="L25" s="15">
        <v>0.122472</v>
      </c>
      <c r="M25" s="15">
        <v>0.25934000000000001</v>
      </c>
      <c r="N25" s="2" t="s">
        <v>8</v>
      </c>
      <c r="O25" s="2">
        <v>337056</v>
      </c>
      <c r="P25" s="2">
        <v>59563</v>
      </c>
      <c r="Q25" s="2">
        <v>8722</v>
      </c>
      <c r="R25" s="2">
        <v>327.23200000000003</v>
      </c>
      <c r="S25" s="2">
        <v>9883</v>
      </c>
      <c r="T25" s="2">
        <v>5.4939999999999998E-3</v>
      </c>
      <c r="U25" s="15">
        <v>0.14643300000000001</v>
      </c>
      <c r="V25" s="15">
        <v>0.16592499999999999</v>
      </c>
      <c r="X25" s="5">
        <v>574</v>
      </c>
      <c r="Y25" s="14">
        <f>F25/SUM($F$23:$F$26)</f>
        <v>0.34656789290357154</v>
      </c>
      <c r="Z25" s="14">
        <f>O25/SUM($O$23:$O$26)</f>
        <v>0.3448598331646836</v>
      </c>
      <c r="AA25" s="7">
        <f t="shared" si="12"/>
        <v>0.28153483411927416</v>
      </c>
      <c r="AB25" s="7">
        <f t="shared" si="13"/>
        <v>0.28283331908791326</v>
      </c>
      <c r="AC25" s="17">
        <f t="shared" si="14"/>
        <v>0.20637057077783513</v>
      </c>
      <c r="AD25" s="7">
        <f t="shared" si="15"/>
        <v>0.1916721667450384</v>
      </c>
      <c r="AE25" s="14">
        <f t="shared" si="16"/>
        <v>0.19351836739368847</v>
      </c>
      <c r="AF25" s="14">
        <f t="shared" si="17"/>
        <v>0.17671544194436534</v>
      </c>
      <c r="AG25" s="19">
        <f t="shared" si="18"/>
        <v>0.51627994011976053</v>
      </c>
      <c r="AH25" s="21">
        <f t="shared" si="19"/>
        <v>3.7446973541138094E-2</v>
      </c>
    </row>
    <row r="26" spans="3:35" x14ac:dyDescent="0.25">
      <c r="C26" s="1">
        <v>3</v>
      </c>
      <c r="D26" s="2">
        <v>700</v>
      </c>
      <c r="E26" s="2" t="s">
        <v>7</v>
      </c>
      <c r="F26" s="2">
        <v>67125</v>
      </c>
      <c r="G26" s="2">
        <v>31834</v>
      </c>
      <c r="H26" s="2">
        <v>2063</v>
      </c>
      <c r="I26" s="2">
        <v>503.76010000000002</v>
      </c>
      <c r="J26" s="2">
        <v>6361</v>
      </c>
      <c r="K26" s="2">
        <v>1.5824999999999999E-2</v>
      </c>
      <c r="L26" s="15">
        <v>6.4805000000000001E-2</v>
      </c>
      <c r="M26" s="15">
        <v>0.199818</v>
      </c>
      <c r="N26" s="2" t="s">
        <v>8</v>
      </c>
      <c r="O26" s="2">
        <v>62737</v>
      </c>
      <c r="P26" s="2">
        <v>28852</v>
      </c>
      <c r="Q26" s="2">
        <v>2401</v>
      </c>
      <c r="R26" s="2">
        <v>640.34580000000005</v>
      </c>
      <c r="S26" s="2">
        <v>2376</v>
      </c>
      <c r="T26" s="2">
        <v>2.2193999999999998E-2</v>
      </c>
      <c r="U26" s="15">
        <v>8.3218E-2</v>
      </c>
      <c r="V26" s="15">
        <v>8.2350999999999994E-2</v>
      </c>
      <c r="X26" s="5">
        <v>700</v>
      </c>
      <c r="Y26" s="14">
        <f>F26/SUM($F$23:$F$26)</f>
        <v>6.6612747968125122E-2</v>
      </c>
      <c r="Z26" s="14">
        <f>O26/SUM($O$23:$O$26)</f>
        <v>6.4189545218755209E-2</v>
      </c>
      <c r="AA26" s="7">
        <f t="shared" si="12"/>
        <v>0.1326129338643294</v>
      </c>
      <c r="AB26" s="7">
        <f t="shared" si="13"/>
        <v>0.13700295355043354</v>
      </c>
      <c r="AC26" s="17">
        <f t="shared" si="14"/>
        <v>0.33541451509088704</v>
      </c>
      <c r="AD26" s="7">
        <f t="shared" si="15"/>
        <v>0.37507476943601176</v>
      </c>
      <c r="AE26" s="14">
        <f t="shared" si="16"/>
        <v>0.47424953445065177</v>
      </c>
      <c r="AF26" s="14">
        <f t="shared" si="17"/>
        <v>0.45988810430846233</v>
      </c>
      <c r="AG26" s="19">
        <f t="shared" si="18"/>
        <v>0.12868013972055889</v>
      </c>
      <c r="AH26" s="21">
        <f t="shared" si="19"/>
        <v>0.24418812409112944</v>
      </c>
    </row>
    <row r="29" spans="3:35" ht="51" x14ac:dyDescent="0.25">
      <c r="E29" s="9" t="s">
        <v>29</v>
      </c>
      <c r="F29" s="4" t="s">
        <v>0</v>
      </c>
      <c r="G29" s="4" t="s">
        <v>1</v>
      </c>
      <c r="H29" s="4" t="s">
        <v>3</v>
      </c>
      <c r="I29" s="4" t="s">
        <v>2</v>
      </c>
      <c r="J29" s="4" t="s">
        <v>4</v>
      </c>
      <c r="K29" s="4" t="s">
        <v>6</v>
      </c>
      <c r="L29" s="4" t="s">
        <v>5</v>
      </c>
      <c r="M29" s="4" t="s">
        <v>28</v>
      </c>
      <c r="O29" s="9" t="s">
        <v>32</v>
      </c>
      <c r="P29" s="4" t="s">
        <v>0</v>
      </c>
      <c r="Q29" s="4" t="s">
        <v>1</v>
      </c>
      <c r="R29" s="4" t="s">
        <v>3</v>
      </c>
      <c r="S29" s="4" t="s">
        <v>2</v>
      </c>
      <c r="T29" s="4" t="s">
        <v>4</v>
      </c>
      <c r="U29" s="4" t="s">
        <v>6</v>
      </c>
      <c r="V29" s="4" t="s">
        <v>5</v>
      </c>
      <c r="W29" s="4" t="s">
        <v>28</v>
      </c>
      <c r="AB29" s="4" t="s">
        <v>9</v>
      </c>
      <c r="AC29" s="4" t="s">
        <v>33</v>
      </c>
      <c r="AD29" s="1" t="s">
        <v>37</v>
      </c>
      <c r="AE29" s="4" t="s">
        <v>35</v>
      </c>
      <c r="AF29" s="18" t="s">
        <v>42</v>
      </c>
      <c r="AG29" s="16" t="s">
        <v>41</v>
      </c>
    </row>
    <row r="30" spans="3:35" x14ac:dyDescent="0.25">
      <c r="E30" s="2">
        <v>106</v>
      </c>
      <c r="F30" s="6">
        <f t="shared" ref="F30:M33" si="20">O23-F23</f>
        <v>-6921</v>
      </c>
      <c r="G30" s="6">
        <f t="shared" si="20"/>
        <v>-5010</v>
      </c>
      <c r="H30" s="6">
        <f t="shared" si="20"/>
        <v>455</v>
      </c>
      <c r="I30" s="6">
        <f t="shared" si="20"/>
        <v>43.941100000000006</v>
      </c>
      <c r="J30" s="6">
        <f t="shared" si="20"/>
        <v>-6765</v>
      </c>
      <c r="K30" s="6">
        <f t="shared" si="20"/>
        <v>2.0730000000000002E-3</v>
      </c>
      <c r="L30" s="8">
        <f t="shared" si="20"/>
        <v>1.6139000000000001E-2</v>
      </c>
      <c r="M30" s="8">
        <f t="shared" si="20"/>
        <v>-0.11723199999999999</v>
      </c>
      <c r="O30" s="2">
        <v>106</v>
      </c>
      <c r="P30" s="13">
        <f>F23+O23</f>
        <v>323665</v>
      </c>
      <c r="Q30" s="13">
        <f t="shared" ref="Q30:T33" si="21">G23+P23</f>
        <v>103102</v>
      </c>
      <c r="R30" s="13">
        <f t="shared" si="21"/>
        <v>7717</v>
      </c>
      <c r="S30" s="13">
        <f t="shared" si="21"/>
        <v>1288.8967</v>
      </c>
      <c r="T30" s="13">
        <f t="shared" si="21"/>
        <v>15143</v>
      </c>
      <c r="U30" s="6">
        <f>S30/Q30*1000</f>
        <v>12.50118038447363</v>
      </c>
      <c r="V30" s="8">
        <f>R30/Q30</f>
        <v>7.4848208570153826E-2</v>
      </c>
      <c r="W30" s="8">
        <f>T30/Q30</f>
        <v>0.14687396946712963</v>
      </c>
      <c r="AB30" s="5">
        <v>106</v>
      </c>
      <c r="AC30" s="14">
        <v>0.16403159701892447</v>
      </c>
      <c r="AD30" s="7">
        <v>0.22518454334894106</v>
      </c>
      <c r="AE30" s="17">
        <v>0.41445936159263536</v>
      </c>
      <c r="AF30" s="19">
        <v>0.22648453093812376</v>
      </c>
      <c r="AG30" s="21">
        <v>0.17143426053428806</v>
      </c>
    </row>
    <row r="31" spans="3:35" x14ac:dyDescent="0.25">
      <c r="E31" s="2">
        <v>259</v>
      </c>
      <c r="F31" s="6">
        <f t="shared" si="20"/>
        <v>-6833</v>
      </c>
      <c r="G31" s="6">
        <f t="shared" si="20"/>
        <v>-13446</v>
      </c>
      <c r="H31" s="6">
        <f t="shared" si="20"/>
        <v>373</v>
      </c>
      <c r="I31" s="6">
        <f t="shared" si="20"/>
        <v>7.5350999999999999</v>
      </c>
      <c r="J31" s="6">
        <f t="shared" si="20"/>
        <v>-9791</v>
      </c>
      <c r="K31" s="6">
        <f t="shared" si="20"/>
        <v>2.4300000000000005E-4</v>
      </c>
      <c r="L31" s="7">
        <f t="shared" si="20"/>
        <v>9.4769999999999993E-3</v>
      </c>
      <c r="M31" s="7">
        <f t="shared" si="20"/>
        <v>-9.5779000000000003E-2</v>
      </c>
      <c r="O31" s="2">
        <v>259</v>
      </c>
      <c r="P31" s="13">
        <f t="shared" ref="P31:P33" si="22">F24+O24</f>
        <v>845245</v>
      </c>
      <c r="Q31" s="13">
        <f t="shared" si="21"/>
        <v>159712</v>
      </c>
      <c r="R31" s="13">
        <f t="shared" si="21"/>
        <v>4495</v>
      </c>
      <c r="S31" s="13">
        <f t="shared" si="21"/>
        <v>138.9683</v>
      </c>
      <c r="T31" s="13">
        <f t="shared" si="21"/>
        <v>26093</v>
      </c>
      <c r="U31" s="6">
        <f t="shared" ref="U31:U33" si="23">S31/Q31*1000</f>
        <v>0.87011808755760367</v>
      </c>
      <c r="V31" s="8">
        <f t="shared" ref="V31:V33" si="24">R31/Q31</f>
        <v>2.81444099378882E-2</v>
      </c>
      <c r="W31" s="8">
        <f t="shared" ref="W31:W33" si="25">T31/Q31</f>
        <v>0.16337532558605489</v>
      </c>
      <c r="AB31" s="5">
        <v>259</v>
      </c>
      <c r="AC31" s="14">
        <v>0.42278776210937885</v>
      </c>
      <c r="AD31" s="7">
        <v>0.36066768866745541</v>
      </c>
      <c r="AE31" s="17">
        <v>4.3755552538642474E-2</v>
      </c>
      <c r="AF31" s="19">
        <v>0.12855538922155688</v>
      </c>
      <c r="AG31" s="21">
        <v>3.1885783600194083E-2</v>
      </c>
    </row>
    <row r="32" spans="3:35" x14ac:dyDescent="0.25">
      <c r="E32" s="2">
        <v>574</v>
      </c>
      <c r="F32" s="6">
        <f t="shared" si="20"/>
        <v>-12177</v>
      </c>
      <c r="G32" s="6">
        <f t="shared" si="20"/>
        <v>-8020</v>
      </c>
      <c r="H32" s="6">
        <f t="shared" si="20"/>
        <v>445</v>
      </c>
      <c r="I32" s="6">
        <f t="shared" si="20"/>
        <v>17.283400000000029</v>
      </c>
      <c r="J32" s="6">
        <f t="shared" si="20"/>
        <v>-7644</v>
      </c>
      <c r="K32" s="6">
        <f t="shared" si="20"/>
        <v>9.0799999999999995E-4</v>
      </c>
      <c r="L32" s="7">
        <f t="shared" si="20"/>
        <v>2.396100000000001E-2</v>
      </c>
      <c r="M32" s="7">
        <f t="shared" si="20"/>
        <v>-9.3415000000000026E-2</v>
      </c>
      <c r="O32" s="2">
        <v>574</v>
      </c>
      <c r="P32" s="13">
        <f t="shared" si="22"/>
        <v>686289</v>
      </c>
      <c r="Q32" s="13">
        <f t="shared" si="21"/>
        <v>127146</v>
      </c>
      <c r="R32" s="13">
        <f t="shared" si="21"/>
        <v>16999</v>
      </c>
      <c r="S32" s="13">
        <f t="shared" si="21"/>
        <v>637.18060000000003</v>
      </c>
      <c r="T32" s="13">
        <f t="shared" si="21"/>
        <v>27410</v>
      </c>
      <c r="U32" s="6">
        <f t="shared" si="23"/>
        <v>5.011408931464616</v>
      </c>
      <c r="V32" s="8">
        <f t="shared" si="24"/>
        <v>0.133696695137873</v>
      </c>
      <c r="W32" s="8">
        <f t="shared" si="25"/>
        <v>0.21557894074528494</v>
      </c>
      <c r="AB32" s="5">
        <v>574</v>
      </c>
      <c r="AC32" s="14">
        <v>0.34656789290357154</v>
      </c>
      <c r="AD32" s="7">
        <v>0.28153483411927416</v>
      </c>
      <c r="AE32" s="17">
        <v>0.20637057077783513</v>
      </c>
      <c r="AF32" s="19">
        <v>0.51627994011976053</v>
      </c>
      <c r="AG32" s="21">
        <v>3.7446973541138094E-2</v>
      </c>
    </row>
    <row r="33" spans="5:33" x14ac:dyDescent="0.25">
      <c r="E33" s="2">
        <v>700</v>
      </c>
      <c r="F33" s="6">
        <f t="shared" si="20"/>
        <v>-4388</v>
      </c>
      <c r="G33" s="6">
        <f t="shared" si="20"/>
        <v>-2982</v>
      </c>
      <c r="H33" s="6">
        <f t="shared" si="20"/>
        <v>338</v>
      </c>
      <c r="I33" s="6">
        <f t="shared" si="20"/>
        <v>136.58570000000003</v>
      </c>
      <c r="J33" s="6">
        <f t="shared" si="20"/>
        <v>-3985</v>
      </c>
      <c r="K33" s="6">
        <f t="shared" si="20"/>
        <v>6.3689999999999997E-3</v>
      </c>
      <c r="L33" s="7">
        <f t="shared" si="20"/>
        <v>1.8412999999999999E-2</v>
      </c>
      <c r="M33" s="7">
        <f t="shared" si="20"/>
        <v>-0.117467</v>
      </c>
      <c r="O33" s="2">
        <v>700</v>
      </c>
      <c r="P33" s="13">
        <f t="shared" si="22"/>
        <v>129862</v>
      </c>
      <c r="Q33" s="13">
        <f t="shared" si="21"/>
        <v>60686</v>
      </c>
      <c r="R33" s="13">
        <f t="shared" si="21"/>
        <v>4464</v>
      </c>
      <c r="S33" s="13">
        <f t="shared" si="21"/>
        <v>1144.1059</v>
      </c>
      <c r="T33" s="13">
        <f t="shared" si="21"/>
        <v>8737</v>
      </c>
      <c r="U33" s="6">
        <f t="shared" si="23"/>
        <v>18.85288040075141</v>
      </c>
      <c r="V33" s="8">
        <f t="shared" si="24"/>
        <v>7.3558975711037144E-2</v>
      </c>
      <c r="W33" s="8">
        <f t="shared" si="25"/>
        <v>0.14397060277493987</v>
      </c>
      <c r="AB33" s="5">
        <v>700</v>
      </c>
      <c r="AC33" s="14">
        <v>6.6612747968125122E-2</v>
      </c>
      <c r="AD33" s="7">
        <v>0.1326129338643294</v>
      </c>
      <c r="AE33" s="17">
        <v>0.33541451509088704</v>
      </c>
      <c r="AF33" s="19">
        <v>0.12868013972055889</v>
      </c>
      <c r="AG33" s="21">
        <v>0.24418812409112944</v>
      </c>
    </row>
    <row r="34" spans="5:33" x14ac:dyDescent="0.25">
      <c r="E34" s="2"/>
      <c r="F34" s="6"/>
      <c r="G34" s="6"/>
      <c r="H34" s="6"/>
      <c r="I34" s="6"/>
      <c r="J34" s="6"/>
      <c r="K34" s="6"/>
      <c r="L34" s="7"/>
      <c r="M34" s="7"/>
      <c r="O34" s="5"/>
      <c r="P34" s="13"/>
      <c r="Q34" s="13"/>
      <c r="R34" s="13"/>
      <c r="S34" s="13"/>
      <c r="T34" s="13"/>
      <c r="U34" s="6"/>
      <c r="V34" s="7"/>
      <c r="W34" s="7"/>
    </row>
    <row r="39" spans="5:33" x14ac:dyDescent="0.25">
      <c r="I39" s="24" t="s">
        <v>44</v>
      </c>
      <c r="J39" s="25"/>
      <c r="K39" s="26"/>
      <c r="N39" s="27" t="s">
        <v>54</v>
      </c>
      <c r="O39" t="s">
        <v>55</v>
      </c>
    </row>
    <row r="40" spans="5:33" x14ac:dyDescent="0.25">
      <c r="I40" s="23" t="s">
        <v>43</v>
      </c>
      <c r="J40" s="23" t="s">
        <v>7</v>
      </c>
      <c r="K40" s="23" t="s">
        <v>8</v>
      </c>
      <c r="M40" s="27" t="s">
        <v>45</v>
      </c>
      <c r="N40" t="s">
        <v>51</v>
      </c>
      <c r="O40" t="s">
        <v>46</v>
      </c>
    </row>
    <row r="41" spans="5:33" x14ac:dyDescent="0.25">
      <c r="I41" s="6">
        <v>1</v>
      </c>
      <c r="J41" s="21">
        <v>149.44759999999999</v>
      </c>
      <c r="K41" s="21">
        <v>142.91460000000001</v>
      </c>
      <c r="M41" s="27" t="s">
        <v>47</v>
      </c>
      <c r="N41" t="s">
        <v>48</v>
      </c>
      <c r="O41" t="s">
        <v>49</v>
      </c>
    </row>
    <row r="42" spans="5:33" x14ac:dyDescent="0.25">
      <c r="I42" s="6">
        <v>2</v>
      </c>
      <c r="J42" s="21">
        <v>151.913239</v>
      </c>
      <c r="K42" s="21">
        <v>150.75843399999999</v>
      </c>
      <c r="M42" s="27" t="s">
        <v>50</v>
      </c>
      <c r="N42" s="28" t="s">
        <v>52</v>
      </c>
      <c r="O42" s="28" t="s">
        <v>53</v>
      </c>
    </row>
    <row r="43" spans="5:33" x14ac:dyDescent="0.25">
      <c r="I43" s="6">
        <v>3</v>
      </c>
      <c r="J43" s="21">
        <v>161.477003</v>
      </c>
      <c r="K43" s="21">
        <v>150.71530300000001</v>
      </c>
    </row>
    <row r="44" spans="5:33" x14ac:dyDescent="0.25">
      <c r="I44" s="6">
        <v>4</v>
      </c>
      <c r="J44" s="21">
        <v>180.14837700000001</v>
      </c>
      <c r="K44" s="21">
        <v>172.277602</v>
      </c>
    </row>
    <row r="45" spans="5:33" x14ac:dyDescent="0.25">
      <c r="I45" s="6">
        <v>5</v>
      </c>
      <c r="J45" s="21">
        <v>179.57375400000001</v>
      </c>
      <c r="K45" s="21">
        <v>176.24748299999999</v>
      </c>
    </row>
    <row r="46" spans="5:33" x14ac:dyDescent="0.25">
      <c r="I46" s="6">
        <v>6</v>
      </c>
      <c r="J46" s="21">
        <v>181.526141</v>
      </c>
      <c r="K46" s="21">
        <v>178.44220000000001</v>
      </c>
    </row>
    <row r="49" spans="9:11" x14ac:dyDescent="0.25">
      <c r="I49" t="s">
        <v>43</v>
      </c>
      <c r="J49" t="s">
        <v>7</v>
      </c>
      <c r="K49" t="s">
        <v>8</v>
      </c>
    </row>
    <row r="50" spans="9:11" x14ac:dyDescent="0.25">
      <c r="I50">
        <v>1</v>
      </c>
      <c r="J50" s="22">
        <v>214.11840000000001</v>
      </c>
      <c r="K50" s="22">
        <v>251.63319999999999</v>
      </c>
    </row>
    <row r="51" spans="9:11" x14ac:dyDescent="0.25">
      <c r="I51">
        <v>2</v>
      </c>
      <c r="J51" s="22">
        <v>214.24442099999999</v>
      </c>
      <c r="K51" s="22">
        <v>251.800847</v>
      </c>
    </row>
    <row r="52" spans="9:11" x14ac:dyDescent="0.25">
      <c r="I52">
        <v>3</v>
      </c>
      <c r="J52" s="22">
        <v>221.12867199999999</v>
      </c>
      <c r="K52" s="22">
        <v>261.20667099999997</v>
      </c>
    </row>
    <row r="53" spans="9:11" x14ac:dyDescent="0.25">
      <c r="I53">
        <v>4</v>
      </c>
      <c r="J53" s="22">
        <v>234.616761</v>
      </c>
      <c r="K53" s="22">
        <v>268.04858999999999</v>
      </c>
    </row>
    <row r="54" spans="9:11" x14ac:dyDescent="0.25">
      <c r="I54">
        <v>5</v>
      </c>
      <c r="J54" s="22">
        <v>257.55510399999997</v>
      </c>
      <c r="K54" s="22">
        <v>288.21780999999999</v>
      </c>
    </row>
    <row r="55" spans="9:11" x14ac:dyDescent="0.25">
      <c r="I55">
        <v>6</v>
      </c>
      <c r="J55" s="22">
        <v>250.95469399999999</v>
      </c>
      <c r="K55" s="22">
        <v>284.86551600000001</v>
      </c>
    </row>
  </sheetData>
  <mergeCells count="1">
    <mergeCell ref="I39:K3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2026-02-17T12:08:30Z</dcterms:created>
  <dcterms:modified xsi:type="dcterms:W3CDTF">2026-02-28T09:02:24Z</dcterms:modified>
</cp:coreProperties>
</file>